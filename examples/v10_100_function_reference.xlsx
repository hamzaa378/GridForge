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100 New Functions v10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53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/>
    <xf numFmtId="0" fontId="1" fillId="2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 s="1" t="inlineStr">
        <is>
          <t xml:space="preserve">New v10 name</t>
        </is>
      </c>
      <c r="B1" s="1" t="inlineStr">
        <is>
          <t xml:space="preserve">Category</t>
        </is>
      </c>
      <c r="C1" s="1" t="inlineStr">
        <is>
          <t xml:space="preserve">Description</t>
        </is>
      </c>
      <c r="D1" s="1" t="inlineStr">
        <is>
          <t xml:space="preserve">Syntax / example</t>
        </is>
      </c>
      <c r="F1" s="1" t="inlineStr">
        <is>
          <t xml:space="preserve">Function</t>
        </is>
      </c>
      <c r="G1" s="1" t="inlineStr">
        <is>
          <t xml:space="preserve">Formula source</t>
        </is>
      </c>
      <c r="H1" s="1" t="inlineStr">
        <is>
          <t xml:space="preserve">Evaluated result</t>
        </is>
      </c>
    </row>
    <row r="2">
      <c r="A2" t="inlineStr">
        <is>
          <t xml:space="preserve">BETA.DIST</t>
        </is>
      </c>
      <c r="B2" t="inlineStr">
        <is>
          <t xml:space="preserve">Statistical</t>
        </is>
      </c>
      <c r="C2" t="inlineStr">
        <is>
          <t xml:space="preserve">Beta probability and inverse.</t>
        </is>
      </c>
      <c r="D2" t="inlineStr">
        <is>
          <t xml:space="preserve">=BETA.DIST(0.5,2,2,TRUE)</t>
        </is>
      </c>
      <c r="F2" t="inlineStr">
        <is>
          <t xml:space="preserve">BETA.DIST</t>
        </is>
      </c>
      <c r="G2" t="inlineStr">
        <is>
          <t xml:space="preserve">=BETA.DIST(0.5,2,2,TRUE)</t>
        </is>
      </c>
      <c r="H2">
        <f>BETA.DIST(0.5,2,2,TRUE)</f>
        <v>0.5000000000000002</v>
      </c>
      <c r="J2">
        <v>2</v>
      </c>
      <c r="K2">
        <v>20</v>
      </c>
    </row>
    <row r="3">
      <c r="A3" t="inlineStr">
        <is>
          <t xml:space="preserve">BETA.INV</t>
        </is>
      </c>
      <c r="B3" t="inlineStr">
        <is>
          <t xml:space="preserve">Statistical</t>
        </is>
      </c>
      <c r="C3" t="inlineStr">
        <is>
          <t xml:space="preserve">Beta probability and inverse.</t>
        </is>
      </c>
      <c r="D3" t="inlineStr">
        <is>
          <t xml:space="preserve">=BETA.DIST(0.5,2,2,TRUE)</t>
        </is>
      </c>
      <c r="F3" t="inlineStr">
        <is>
          <t xml:space="preserve">BETA.INV</t>
        </is>
      </c>
      <c r="G3" t="inlineStr">
        <is>
          <t xml:space="preserve">=BETA.INV(0.5,2,2)</t>
        </is>
      </c>
      <c r="H3">
        <f>BETA.INV(0.5,2,2)</f>
        <v>0.4999999999999999</v>
      </c>
      <c r="J3">
        <v>3</v>
      </c>
      <c r="K3">
        <v>30</v>
      </c>
    </row>
    <row r="4">
      <c r="A4" t="inlineStr">
        <is>
          <t xml:space="preserve">BINOM.DIST.RANGE</t>
        </is>
      </c>
      <c r="B4" t="inlineStr">
        <is>
          <t xml:space="preserve">Statistical</t>
        </is>
      </c>
      <c r="C4" t="inlineStr">
        <is>
          <t xml:space="preserve">Probability of a range of binomial successes.</t>
        </is>
      </c>
      <c r="D4" t="inlineStr">
        <is>
          <t xml:space="preserve">=BINOM.DIST.RANGE(A1:A5)</t>
        </is>
      </c>
      <c r="F4" t="inlineStr">
        <is>
          <t xml:space="preserve">CHISQ.DIST</t>
        </is>
      </c>
      <c r="G4" t="inlineStr">
        <is>
          <t xml:space="preserve">=CHISQ.DIST(2,2,TRUE)</t>
        </is>
      </c>
      <c r="H4">
        <f>CHISQ.DIST(2,2,TRUE)</f>
        <v>0.6321205588285572</v>
      </c>
      <c r="J4">
        <v>4</v>
      </c>
      <c r="K4">
        <v>40</v>
      </c>
    </row>
    <row r="5">
      <c r="A5" t="inlineStr">
        <is>
          <t xml:space="preserve">CHISQ.DIST</t>
        </is>
      </c>
      <c r="B5" t="inlineStr">
        <is>
          <t xml:space="preserve">Statistical</t>
        </is>
      </c>
      <c r="C5" t="inlineStr">
        <is>
          <t xml:space="preserve">Chi-square distribution and hypothesis test.</t>
        </is>
      </c>
      <c r="D5" t="inlineStr">
        <is>
          <t xml:space="preserve">=CHISQ.DIST(A1:A5)</t>
        </is>
      </c>
      <c r="F5" t="inlineStr">
        <is>
          <t xml:space="preserve">ERF.PRECISE</t>
        </is>
      </c>
      <c r="G5" t="inlineStr">
        <is>
          <t xml:space="preserve">=ERF.PRECISE(0.5)</t>
        </is>
      </c>
      <c r="H5">
        <f>ERF.PRECISE(0.5)</f>
        <v>0.5205000163047472</v>
      </c>
    </row>
    <row r="6">
      <c r="A6" t="inlineStr">
        <is>
          <t xml:space="preserve">CHISQ.DIST.RT</t>
        </is>
      </c>
      <c r="B6" t="inlineStr">
        <is>
          <t xml:space="preserve">Statistical</t>
        </is>
      </c>
      <c r="C6" t="inlineStr">
        <is>
          <t xml:space="preserve">Chi-square distribution and hypothesis test.</t>
        </is>
      </c>
      <c r="D6" t="inlineStr">
        <is>
          <t xml:space="preserve">=CHISQ.DIST.RT(A1:A5)</t>
        </is>
      </c>
      <c r="F6" t="inlineStr">
        <is>
          <t xml:space="preserve">F.DIST</t>
        </is>
      </c>
      <c r="G6" t="inlineStr">
        <is>
          <t xml:space="preserve">=F.DIST(1,5,10,TRUE)</t>
        </is>
      </c>
      <c r="H6">
        <f>F.DIST(1,5,10,TRUE)</f>
        <v>0.5348805734622001</v>
      </c>
    </row>
    <row r="7">
      <c r="A7" t="inlineStr">
        <is>
          <t xml:space="preserve">CHISQ.INV</t>
        </is>
      </c>
      <c r="B7" t="inlineStr">
        <is>
          <t xml:space="preserve">Statistical</t>
        </is>
      </c>
      <c r="C7" t="inlineStr">
        <is>
          <t xml:space="preserve">Chi-square distribution and hypothesis test.</t>
        </is>
      </c>
      <c r="D7" t="inlineStr">
        <is>
          <t xml:space="preserve">=CHISQ.INV(A1:A5)</t>
        </is>
      </c>
      <c r="F7" t="inlineStr">
        <is>
          <t xml:space="preserve">GAMMA.DIST</t>
        </is>
      </c>
      <c r="G7" t="inlineStr">
        <is>
          <t xml:space="preserve">=GAMMA.DIST(2,3,2,TRUE)</t>
        </is>
      </c>
      <c r="H7">
        <f>GAMMA.DIST(2,3,2,TRUE)</f>
        <v>0.08030139707139405</v>
      </c>
    </row>
    <row r="8">
      <c r="A8" t="inlineStr">
        <is>
          <t xml:space="preserve">CHISQ.INV.RT</t>
        </is>
      </c>
      <c r="B8" t="inlineStr">
        <is>
          <t xml:space="preserve">Statistical</t>
        </is>
      </c>
      <c r="C8" t="inlineStr">
        <is>
          <t xml:space="preserve">Chi-square distribution and hypothesis test.</t>
        </is>
      </c>
      <c r="D8" t="inlineStr">
        <is>
          <t xml:space="preserve">=CHISQ.INV.RT(A1:A5)</t>
        </is>
      </c>
      <c r="F8" t="inlineStr">
        <is>
          <t xml:space="preserve">T.DIST</t>
        </is>
      </c>
      <c r="G8" t="inlineStr">
        <is>
          <t xml:space="preserve">=T.DIST(1,7,TRUE)</t>
        </is>
      </c>
      <c r="H8">
        <f>T.DIST(1,7,TRUE)</f>
        <v>0.8246916685898986</v>
      </c>
    </row>
    <row r="9">
      <c r="A9" t="inlineStr">
        <is>
          <t xml:space="preserve">CHISQ.TEST</t>
        </is>
      </c>
      <c r="B9" t="inlineStr">
        <is>
          <t xml:space="preserve">Statistical</t>
        </is>
      </c>
      <c r="C9" t="inlineStr">
        <is>
          <t xml:space="preserve">Chi-square distribution and hypothesis test.</t>
        </is>
      </c>
      <c r="D9" t="inlineStr">
        <is>
          <t xml:space="preserve">=CHISQ.TEST(A1:A5)</t>
        </is>
      </c>
      <c r="F9" t="inlineStr">
        <is>
          <t xml:space="preserve">SEQUENCE</t>
        </is>
      </c>
      <c r="G9" t="inlineStr">
        <is>
          <t xml:space="preserve">=INDEX(SEQUENCE(3,2),2,2)</t>
        </is>
      </c>
      <c r="H9">
        <f>INDEX(_xlfn.SEQUENCE(3,2),2,2)</f>
        <v>4</v>
      </c>
    </row>
    <row r="10">
      <c r="A10" t="inlineStr">
        <is>
          <t xml:space="preserve">CONFIDENCE.T</t>
        </is>
      </c>
      <c r="B10" t="inlineStr">
        <is>
          <t xml:space="preserve">Statistical</t>
        </is>
      </c>
      <c r="C10" t="inlineStr">
        <is>
          <t xml:space="preserve">Student t confidence interval width.</t>
        </is>
      </c>
      <c r="D10" t="inlineStr">
        <is>
          <t xml:space="preserve">=CONFIDENCE.T(A1:A5)</t>
        </is>
      </c>
      <c r="F10" t="inlineStr">
        <is>
          <t xml:space="preserve">RANDARRAY</t>
        </is>
      </c>
      <c r="G10" t="inlineStr">
        <is>
          <t xml:space="preserve">=INDEX(RANDARRAY(2,2,5,5),1,1)</t>
        </is>
      </c>
      <c r="H10">
        <f>INDEX(_xlfn.RANDARRAY(2,2,5,5),1,1)</f>
        <v>5</v>
      </c>
    </row>
    <row r="11">
      <c r="A11" t="inlineStr">
        <is>
          <t xml:space="preserve">COVARIANCE.P</t>
        </is>
      </c>
      <c r="B11" t="inlineStr">
        <is>
          <t xml:space="preserve">Statistical</t>
        </is>
      </c>
      <c r="C11" t="inlineStr">
        <is>
          <t xml:space="preserve">Population or sample covariance.</t>
        </is>
      </c>
      <c r="D11" t="inlineStr">
        <is>
          <t xml:space="preserve">=COVARIANCE.P(A1:A5)</t>
        </is>
      </c>
      <c r="F11" t="inlineStr">
        <is>
          <t xml:space="preserve">MUNIT</t>
        </is>
      </c>
      <c r="G11" t="inlineStr">
        <is>
          <t xml:space="preserve">=INDEX(MUNIT(3),2,2)</t>
        </is>
      </c>
      <c r="H11">
        <f>INDEX(MUNIT(3),2,2)</f>
        <v>1</v>
      </c>
    </row>
    <row r="12">
      <c r="A12" t="inlineStr">
        <is>
          <t xml:space="preserve">COVARIANCE.S</t>
        </is>
      </c>
      <c r="B12" t="inlineStr">
        <is>
          <t xml:space="preserve">Statistical</t>
        </is>
      </c>
      <c r="C12" t="inlineStr">
        <is>
          <t xml:space="preserve">Population or sample covariance.</t>
        </is>
      </c>
      <c r="D12" t="inlineStr">
        <is>
          <t xml:space="preserve">=COVARIANCE.S(A1:A5)</t>
        </is>
      </c>
      <c r="F12" t="inlineStr">
        <is>
          <t xml:space="preserve">TEXTSPLIT</t>
        </is>
      </c>
      <c r="G12" t="inlineStr">
        <is>
          <t xml:space="preserve">=INDEX(TEXTSPLIT("red,blue",","),1,2)</t>
        </is>
      </c>
      <c r="H12">
        <f>INDEX(_xlfn.TEXTSPLIT("red,blue",","),1,2)</f>
      </c>
    </row>
    <row r="13">
      <c r="A13" t="inlineStr">
        <is>
          <t xml:space="preserve">ERF.PRECISE</t>
        </is>
      </c>
      <c r="B13" t="inlineStr">
        <is>
          <t xml:space="preserve">Statistical</t>
        </is>
      </c>
      <c r="C13" t="inlineStr">
        <is>
          <t xml:space="preserve">Error function variants.</t>
        </is>
      </c>
      <c r="D13" t="inlineStr">
        <is>
          <t xml:space="preserve">=ERF.PRECISE(A1:A5)</t>
        </is>
      </c>
      <c r="F13" t="inlineStr">
        <is>
          <t xml:space="preserve">EXPAND</t>
        </is>
      </c>
      <c r="G13" t="inlineStr">
        <is>
          <t xml:space="preserve">=INDEX(EXPAND(A2:B3,3,3,0),3,3)</t>
        </is>
      </c>
      <c r="H13">
        <f>INDEX(_xlfn.EXPAND(A2:B3,3,3,0),3,3)</f>
        <v>0</v>
      </c>
    </row>
    <row r="14">
      <c r="A14" t="inlineStr">
        <is>
          <t xml:space="preserve">ERFC.PRECISE</t>
        </is>
      </c>
      <c r="B14" t="inlineStr">
        <is>
          <t xml:space="preserve">Statistical</t>
        </is>
      </c>
      <c r="C14" t="inlineStr">
        <is>
          <t xml:space="preserve">Error function variants.</t>
        </is>
      </c>
      <c r="D14" t="inlineStr">
        <is>
          <t xml:space="preserve">=ERFC.PRECISE(A1:A5)</t>
        </is>
      </c>
      <c r="F14" t="inlineStr">
        <is>
          <t xml:space="preserve">TAKE</t>
        </is>
      </c>
      <c r="G14" t="inlineStr">
        <is>
          <t xml:space="preserve">=INDEX(TAKE(A2:B4,2),1,2)</t>
        </is>
      </c>
      <c r="H14">
        <f>INDEX(_xlfn.TAKE(A2:B4,2),1,2)</f>
      </c>
    </row>
    <row r="15">
      <c r="A15" t="inlineStr">
        <is>
          <t xml:space="preserve">F.DIST</t>
        </is>
      </c>
      <c r="B15" t="inlineStr">
        <is>
          <t xml:space="preserve">Statistical</t>
        </is>
      </c>
      <c r="C15" t="inlineStr">
        <is>
          <t xml:space="preserve">F-distribution and variance test.</t>
        </is>
      </c>
      <c r="D15" t="inlineStr">
        <is>
          <t xml:space="preserve">=F.DIST(A1:A5)</t>
        </is>
      </c>
      <c r="F15" t="inlineStr">
        <is>
          <t xml:space="preserve">DROP</t>
        </is>
      </c>
      <c r="G15" t="inlineStr">
        <is>
          <t xml:space="preserve">=INDEX(DROP(A2:B4,1),1,2)</t>
        </is>
      </c>
      <c r="H15">
        <f>INDEX(_xlfn.DROP(A2:B4,1),1,2)</f>
      </c>
    </row>
    <row r="16">
      <c r="A16" t="inlineStr">
        <is>
          <t xml:space="preserve">F.DIST.RT</t>
        </is>
      </c>
      <c r="B16" t="inlineStr">
        <is>
          <t xml:space="preserve">Statistical</t>
        </is>
      </c>
      <c r="C16" t="inlineStr">
        <is>
          <t xml:space="preserve">F-distribution and variance test.</t>
        </is>
      </c>
      <c r="D16" t="inlineStr">
        <is>
          <t xml:space="preserve">=F.DIST.RT(A1:A5)</t>
        </is>
      </c>
      <c r="F16" t="inlineStr">
        <is>
          <t xml:space="preserve">SORT</t>
        </is>
      </c>
      <c r="G16" t="inlineStr">
        <is>
          <t xml:space="preserve">=INDEX(SORT(A2:B4,1,-1),1,1)</t>
        </is>
      </c>
      <c r="H16">
        <f>INDEX(_xlfn.SORT(A2:B4,1,-1),1,1)</f>
      </c>
    </row>
    <row r="17">
      <c r="A17" t="inlineStr">
        <is>
          <t xml:space="preserve">F.INV</t>
        </is>
      </c>
      <c r="B17" t="inlineStr">
        <is>
          <t xml:space="preserve">Statistical</t>
        </is>
      </c>
      <c r="C17" t="inlineStr">
        <is>
          <t xml:space="preserve">F-distribution and variance test.</t>
        </is>
      </c>
      <c r="D17" t="inlineStr">
        <is>
          <t xml:space="preserve">=F.INV(A1:A5)</t>
        </is>
      </c>
      <c r="F17" t="inlineStr">
        <is>
          <t xml:space="preserve">UNIQUE</t>
        </is>
      </c>
      <c r="G17" t="inlineStr">
        <is>
          <t xml:space="preserve">=INDEX(UNIQUE(A2:A4),1,1)</t>
        </is>
      </c>
      <c r="H17">
        <f>INDEX(_xlfn.UNIQUE(A2:A4),1,1)</f>
      </c>
    </row>
    <row r="18">
      <c r="A18" t="inlineStr">
        <is>
          <t xml:space="preserve">F.INV.RT</t>
        </is>
      </c>
      <c r="B18" t="inlineStr">
        <is>
          <t xml:space="preserve">Statistical</t>
        </is>
      </c>
      <c r="C18" t="inlineStr">
        <is>
          <t xml:space="preserve">F-distribution and variance test.</t>
        </is>
      </c>
      <c r="D18" t="inlineStr">
        <is>
          <t xml:space="preserve">=F.INV.RT(A1:A5)</t>
        </is>
      </c>
      <c r="F18" t="inlineStr">
        <is>
          <t xml:space="preserve">HSTACK</t>
        </is>
      </c>
      <c r="G18" t="inlineStr">
        <is>
          <t xml:space="preserve">=INDEX(HSTACK(A2:A4,B2:B4),1,2)</t>
        </is>
      </c>
      <c r="H18">
        <f>INDEX(_xlfn.HSTACK(A2:A4,B2:B4),1,2)</f>
      </c>
    </row>
    <row r="19">
      <c r="A19" t="inlineStr">
        <is>
          <t xml:space="preserve">F.TEST</t>
        </is>
      </c>
      <c r="B19" t="inlineStr">
        <is>
          <t xml:space="preserve">Statistical</t>
        </is>
      </c>
      <c r="C19" t="inlineStr">
        <is>
          <t xml:space="preserve">F-distribution and variance test.</t>
        </is>
      </c>
      <c r="D19" t="inlineStr">
        <is>
          <t xml:space="preserve">=F.TEST(A1:A5)</t>
        </is>
      </c>
      <c r="F19" t="inlineStr">
        <is>
          <t xml:space="preserve">VSTACK</t>
        </is>
      </c>
      <c r="G19" t="inlineStr">
        <is>
          <t xml:space="preserve">=INDEX(VSTACK(A2:A4,B2:B4),4,1)</t>
        </is>
      </c>
      <c r="H19">
        <f>INDEX(_xlfn.VSTACK(A2:A4,B2:B4),4,1)</f>
      </c>
    </row>
    <row r="20">
      <c r="A20" t="inlineStr">
        <is>
          <t xml:space="preserve">GAMMA.DIST</t>
        </is>
      </c>
      <c r="B20" t="inlineStr">
        <is>
          <t xml:space="preserve">Statistical</t>
        </is>
      </c>
      <c r="C20" t="inlineStr">
        <is>
          <t xml:space="preserve">Gamma distribution and inverse.</t>
        </is>
      </c>
      <c r="D20" t="inlineStr">
        <is>
          <t xml:space="preserve">=GAMMA.DIST(A1:A5)</t>
        </is>
      </c>
      <c r="F20" t="inlineStr">
        <is>
          <t xml:space="preserve">MAP</t>
        </is>
      </c>
      <c r="G20" t="inlineStr">
        <is>
          <t xml:space="preserve">=INDEX(MAP(J2:K4,"ABS"),1,2)</t>
        </is>
      </c>
      <c r="H20">
        <f>INDEX(_xlfn.MAP(J2:K4,"ABS"),1,2)</f>
        <v>20</v>
      </c>
    </row>
    <row r="21">
      <c r="A21" t="inlineStr">
        <is>
          <t xml:space="preserve">GAMMA.INV</t>
        </is>
      </c>
      <c r="B21" t="inlineStr">
        <is>
          <t xml:space="preserve">Statistical</t>
        </is>
      </c>
      <c r="C21" t="inlineStr">
        <is>
          <t xml:space="preserve">Gamma distribution and inverse.</t>
        </is>
      </c>
      <c r="D21" t="inlineStr">
        <is>
          <t xml:space="preserve">=GAMMA.INV(A1:A5)</t>
        </is>
      </c>
      <c r="F21" t="inlineStr">
        <is>
          <t xml:space="preserve">BYROW</t>
        </is>
      </c>
      <c r="G21" t="inlineStr">
        <is>
          <t xml:space="preserve">=INDEX(BYROW(J2:K4,"SUM"),1,1)</t>
        </is>
      </c>
      <c r="H21">
        <f>INDEX(_xlfn.BYROW(J2:K4,"SUM"),1,1)</f>
        <v>22</v>
      </c>
    </row>
    <row r="22">
      <c r="A22" t="inlineStr">
        <is>
          <t xml:space="preserve">HYPGEOM.DIST</t>
        </is>
      </c>
      <c r="B22" t="inlineStr">
        <is>
          <t xml:space="preserve">Statistical</t>
        </is>
      </c>
      <c r="C22" t="inlineStr">
        <is>
          <t xml:space="preserve">Hypergeometric probability.</t>
        </is>
      </c>
      <c r="D22" t="inlineStr">
        <is>
          <t xml:space="preserve">=HYPGEOM.DIST(A1:A5)</t>
        </is>
      </c>
      <c r="F22" t="inlineStr">
        <is>
          <t xml:space="preserve">MAKEARRAY</t>
        </is>
      </c>
      <c r="G22" t="inlineStr">
        <is>
          <t xml:space="preserve">=INDEX(MAKEARRAY(2,2,"PRODUCT"),2,2)</t>
        </is>
      </c>
      <c r="H22">
        <f>INDEX(_xlfn.MAKEARRAY(2,2,"PRODUCT"),2,2)</f>
        <v>4</v>
      </c>
    </row>
    <row r="23">
      <c r="A23" t="inlineStr">
        <is>
          <t xml:space="preserve">MODE.MULT</t>
        </is>
      </c>
      <c r="B23" t="inlineStr">
        <is>
          <t xml:space="preserve">Statistical</t>
        </is>
      </c>
      <c r="C23" t="inlineStr">
        <is>
          <t xml:space="preserve">All modes (array result; use INDEX).</t>
        </is>
      </c>
      <c r="D23" t="inlineStr">
        <is>
          <t xml:space="preserve">=MODE.MULT(A1:A5)</t>
        </is>
      </c>
      <c r="F23" t="inlineStr">
        <is>
          <t xml:space="preserve">REDUCE</t>
        </is>
      </c>
      <c r="G23" t="inlineStr">
        <is>
          <t xml:space="preserve">=REDUCE(0,J2:J4,"SUM")</t>
        </is>
      </c>
      <c r="H23">
        <f>_xlfn.REDUCE(0,J2:J4,"SUM")</f>
        <v>9</v>
      </c>
    </row>
    <row r="24">
      <c r="A24" t="inlineStr">
        <is>
          <t xml:space="preserve">T.DIST</t>
        </is>
      </c>
      <c r="B24" t="inlineStr">
        <is>
          <t xml:space="preserve">Statistical</t>
        </is>
      </c>
      <c r="C24" t="inlineStr">
        <is>
          <t xml:space="preserve">Student t distribution and tests.</t>
        </is>
      </c>
      <c r="D24" t="inlineStr">
        <is>
          <t xml:space="preserve">=T.DIST(A1:A5)</t>
        </is>
      </c>
      <c r="F24" t="inlineStr">
        <is>
          <t xml:space="preserve">SCAN</t>
        </is>
      </c>
      <c r="G24" t="inlineStr">
        <is>
          <t xml:space="preserve">=INDEX(SCAN(0,J2:J4,"SUM"),3,1)</t>
        </is>
      </c>
      <c r="H24">
        <f>INDEX(_xlfn.SCAN(0,J2:J4,"SUM"),3,1)</f>
        <v>9</v>
      </c>
    </row>
    <row r="25">
      <c r="A25" t="inlineStr">
        <is>
          <t xml:space="preserve">T.DIST.2T</t>
        </is>
      </c>
      <c r="B25" t="inlineStr">
        <is>
          <t xml:space="preserve">Statistical</t>
        </is>
      </c>
      <c r="C25" t="inlineStr">
        <is>
          <t xml:space="preserve">Student t distribution and tests.</t>
        </is>
      </c>
      <c r="D25" t="inlineStr">
        <is>
          <t xml:space="preserve">=T.DIST.2T(A1:A5)</t>
        </is>
      </c>
      <c r="F25" t="inlineStr">
        <is>
          <t xml:space="preserve">ISBETWEEN</t>
        </is>
      </c>
      <c r="G25" t="inlineStr">
        <is>
          <t xml:space="preserve">=ISBETWEEN(5,1,10)</t>
        </is>
      </c>
      <c r="H25">
        <f>ISBETWEEN(5,1,10)</f>
      </c>
    </row>
    <row r="26">
      <c r="A26" t="inlineStr">
        <is>
          <t xml:space="preserve">T.DIST.RT</t>
        </is>
      </c>
      <c r="B26" t="inlineStr">
        <is>
          <t xml:space="preserve">Statistical</t>
        </is>
      </c>
      <c r="C26" t="inlineStr">
        <is>
          <t xml:space="preserve">Student t distribution and tests.</t>
        </is>
      </c>
      <c r="D26" t="inlineStr">
        <is>
          <t xml:space="preserve">=T.DIST.RT(A1:A5)</t>
        </is>
      </c>
      <c r="F26" t="inlineStr">
        <is>
          <t xml:space="preserve">DETECTLANGUAGE</t>
        </is>
      </c>
      <c r="G26" t="inlineStr">
        <is>
          <t xml:space="preserve">=DETECTLANGUAGE("Hello")</t>
        </is>
      </c>
      <c r="H26">
        <f>DETECTLANGUAGE("Hello")</f>
      </c>
    </row>
    <row r="27">
      <c r="A27" t="inlineStr">
        <is>
          <t xml:space="preserve">T.INV</t>
        </is>
      </c>
      <c r="B27" t="inlineStr">
        <is>
          <t xml:space="preserve">Statistical</t>
        </is>
      </c>
      <c r="C27" t="inlineStr">
        <is>
          <t xml:space="preserve">Student t distribution and tests.</t>
        </is>
      </c>
      <c r="D27" t="inlineStr">
        <is>
          <t xml:space="preserve">=T.INV(A1:A5)</t>
        </is>
      </c>
      <c r="F27" t="inlineStr">
        <is>
          <t xml:space="preserve">EUROCONVERT</t>
        </is>
      </c>
      <c r="G27" t="inlineStr">
        <is>
          <t xml:space="preserve">=EUROCONVERT(100,"EUR","DEM")</t>
        </is>
      </c>
      <c r="H27">
        <f>EUROCONVERT(100,"EUR","DEM")</f>
        <v>195.583</v>
      </c>
    </row>
    <row r="28">
      <c r="A28" t="inlineStr">
        <is>
          <t xml:space="preserve">T.INV.2T</t>
        </is>
      </c>
      <c r="B28" t="inlineStr">
        <is>
          <t xml:space="preserve">Statistical</t>
        </is>
      </c>
      <c r="C28" t="inlineStr">
        <is>
          <t xml:space="preserve">Student t distribution and tests.</t>
        </is>
      </c>
      <c r="D28" t="inlineStr">
        <is>
          <t xml:space="preserve">=T.INV.2T(A1:A5)</t>
        </is>
      </c>
      <c r="F28" t="inlineStr">
        <is>
          <t xml:space="preserve">PERCENTOF</t>
        </is>
      </c>
      <c r="G28" t="inlineStr">
        <is>
          <t xml:space="preserve">=PERCENTOF(J2:J3,J2:J4)</t>
        </is>
      </c>
      <c r="H28">
        <f>PERCENTOF(J2:J3,J2:J4)</f>
        <v>0.5555555555555556</v>
      </c>
    </row>
    <row r="29">
      <c r="A29" t="inlineStr">
        <is>
          <t xml:space="preserve">T.TEST</t>
        </is>
      </c>
      <c r="B29" t="inlineStr">
        <is>
          <t xml:space="preserve">Statistical</t>
        </is>
      </c>
      <c r="C29" t="inlineStr">
        <is>
          <t xml:space="preserve">Student t distribution and tests.</t>
        </is>
      </c>
      <c r="D29" t="inlineStr">
        <is>
          <t xml:space="preserve">=T.TEST(A1:A5)</t>
        </is>
      </c>
      <c r="F29" t="inlineStr">
        <is>
          <t xml:space="preserve">INFO</t>
        </is>
      </c>
      <c r="G29" t="inlineStr">
        <is>
          <t xml:space="preserve">=INFO("release")</t>
        </is>
      </c>
      <c r="H29">
        <f>INFO("release")</f>
      </c>
    </row>
    <row r="30">
      <c r="A30" t="inlineStr">
        <is>
          <t xml:space="preserve">SEQUENCE</t>
        </is>
      </c>
      <c r="B30" t="inlineStr">
        <is>
          <t xml:space="preserve">Lookup &amp; Reference</t>
        </is>
      </c>
      <c r="C30" t="inlineStr">
        <is>
          <t xml:space="preserve">Generate numeric arrays.</t>
        </is>
      </c>
      <c r="D30" t="inlineStr">
        <is>
          <t xml:space="preserve">=INDEX(SEQUENCE(3,2),2,2)</t>
        </is>
      </c>
      <c r="F30" t="inlineStr">
        <is>
          <t xml:space="preserve">CUBESETCOUNT</t>
        </is>
      </c>
      <c r="G30" t="inlineStr">
        <is>
          <t xml:space="preserve">=CUBESETCOUNT("A,B,C")</t>
        </is>
      </c>
      <c r="H30">
        <f>CUBESETCOUNT("A,B,C")</f>
        <v>3</v>
      </c>
    </row>
    <row r="31">
      <c r="A31" t="inlineStr">
        <is>
          <t xml:space="preserve">RANDARRAY</t>
        </is>
      </c>
      <c r="B31" t="inlineStr">
        <is>
          <t xml:space="preserve">Lookup &amp; Reference</t>
        </is>
      </c>
      <c r="C31" t="inlineStr">
        <is>
          <t xml:space="preserve">Generate numeric arrays.</t>
        </is>
      </c>
      <c r="D31" t="inlineStr">
        <is>
          <t xml:space="preserve">=INDEX(SEQUENCE(3,2),2,2)</t>
        </is>
      </c>
      <c r="F31" t="inlineStr">
        <is>
          <t xml:space="preserve">FILTERXML</t>
        </is>
      </c>
      <c r="G31" t="inlineStr">
        <is>
          <t xml:space="preserve">=FILTERXML("&lt;item&gt;ready&lt;/item&gt;","item")</t>
        </is>
      </c>
      <c r="H31">
        <f>FILTERXML("&lt;item&gt;ready&lt;/item&gt;","item")</f>
      </c>
    </row>
    <row r="32">
      <c r="A32" t="inlineStr">
        <is>
          <t xml:space="preserve">MUNIT</t>
        </is>
      </c>
      <c r="B32" t="inlineStr">
        <is>
          <t xml:space="preserve">Lookup &amp; Reference</t>
        </is>
      </c>
      <c r="C32" t="inlineStr">
        <is>
          <t xml:space="preserve">Generate numeric arrays.</t>
        </is>
      </c>
      <c r="D32" t="inlineStr">
        <is>
          <t xml:space="preserve">=INDEX(SEQUENCE(3,2),2,2)</t>
        </is>
      </c>
    </row>
    <row r="33">
      <c r="A33" t="inlineStr">
        <is>
          <t xml:space="preserve">TAKE</t>
        </is>
      </c>
      <c r="B33" t="inlineStr">
        <is>
          <t xml:space="preserve">Lookup &amp; Reference</t>
        </is>
      </c>
      <c r="C33" t="inlineStr">
        <is>
          <t xml:space="preserve">Keep or remove rows and columns of an array.</t>
        </is>
      </c>
      <c r="D33" t="inlineStr">
        <is>
          <t xml:space="preserve">=TAKE(A1:A5)</t>
        </is>
      </c>
    </row>
    <row r="34">
      <c r="A34" t="inlineStr">
        <is>
          <t xml:space="preserve">DROP</t>
        </is>
      </c>
      <c r="B34" t="inlineStr">
        <is>
          <t xml:space="preserve">Lookup &amp; Reference</t>
        </is>
      </c>
      <c r="C34" t="inlineStr">
        <is>
          <t xml:space="preserve">Keep or remove rows and columns of an array.</t>
        </is>
      </c>
      <c r="D34" t="inlineStr">
        <is>
          <t xml:space="preserve">=DROP(A1:A5)</t>
        </is>
      </c>
    </row>
    <row r="35">
      <c r="A35" t="inlineStr">
        <is>
          <t xml:space="preserve">CHOOSECOLS</t>
        </is>
      </c>
      <c r="B35" t="inlineStr">
        <is>
          <t xml:space="preserve">Lookup &amp; Reference</t>
        </is>
      </c>
      <c r="C35" t="inlineStr">
        <is>
          <t xml:space="preserve">Select columns or rows by 1-based positions.</t>
        </is>
      </c>
      <c r="D35" t="inlineStr">
        <is>
          <t xml:space="preserve">=CHOOSECOLS(A1:A5)</t>
        </is>
      </c>
    </row>
    <row r="36">
      <c r="A36" t="inlineStr">
        <is>
          <t xml:space="preserve">CHOOSEROWS</t>
        </is>
      </c>
      <c r="B36" t="inlineStr">
        <is>
          <t xml:space="preserve">Lookup &amp; Reference</t>
        </is>
      </c>
      <c r="C36" t="inlineStr">
        <is>
          <t xml:space="preserve">Select columns or rows by 1-based positions.</t>
        </is>
      </c>
      <c r="D36" t="inlineStr">
        <is>
          <t xml:space="preserve">=CHOOSEROWS(A1:A5)</t>
        </is>
      </c>
    </row>
    <row r="37">
      <c r="A37" t="inlineStr">
        <is>
          <t xml:space="preserve">HSTACK</t>
        </is>
      </c>
      <c r="B37" t="inlineStr">
        <is>
          <t xml:space="preserve">Lookup &amp; Reference</t>
        </is>
      </c>
      <c r="C37" t="inlineStr">
        <is>
          <t xml:space="preserve">Join rectangular array ranges.</t>
        </is>
      </c>
      <c r="D37" t="inlineStr">
        <is>
          <t xml:space="preserve">=HSTACK(A1:A5)</t>
        </is>
      </c>
    </row>
    <row r="38">
      <c r="A38" t="inlineStr">
        <is>
          <t xml:space="preserve">VSTACK</t>
        </is>
      </c>
      <c r="B38" t="inlineStr">
        <is>
          <t xml:space="preserve">Lookup &amp; Reference</t>
        </is>
      </c>
      <c r="C38" t="inlineStr">
        <is>
          <t xml:space="preserve">Join rectangular array ranges.</t>
        </is>
      </c>
      <c r="D38" t="inlineStr">
        <is>
          <t xml:space="preserve">=VSTACK(A1:A5)</t>
        </is>
      </c>
    </row>
    <row r="39">
      <c r="A39" t="inlineStr">
        <is>
          <t xml:space="preserve">TOCOL</t>
        </is>
      </c>
      <c r="B39" t="inlineStr">
        <is>
          <t xml:space="preserve">Lookup &amp; Reference</t>
        </is>
      </c>
      <c r="C39" t="inlineStr">
        <is>
          <t xml:space="preserve">Flatten array to one column or row.</t>
        </is>
      </c>
      <c r="D39" t="inlineStr">
        <is>
          <t xml:space="preserve">=TOCOL(A1:A5)</t>
        </is>
      </c>
    </row>
    <row r="40">
      <c r="A40" t="inlineStr">
        <is>
          <t xml:space="preserve">TOROW</t>
        </is>
      </c>
      <c r="B40" t="inlineStr">
        <is>
          <t xml:space="preserve">Lookup &amp; Reference</t>
        </is>
      </c>
      <c r="C40" t="inlineStr">
        <is>
          <t xml:space="preserve">Flatten array to one column or row.</t>
        </is>
      </c>
      <c r="D40" t="inlineStr">
        <is>
          <t xml:space="preserve">=TOROW(A1:A5)</t>
        </is>
      </c>
    </row>
    <row r="41">
      <c r="A41" t="inlineStr">
        <is>
          <t xml:space="preserve">WRAPCOLS</t>
        </is>
      </c>
      <c r="B41" t="inlineStr">
        <is>
          <t xml:space="preserve">Lookup &amp; Reference</t>
        </is>
      </c>
      <c r="C41" t="inlineStr">
        <is>
          <t xml:space="preserve">Wrap one-dimensional array into rows or columns.</t>
        </is>
      </c>
      <c r="D41" t="inlineStr">
        <is>
          <t xml:space="preserve">=WRAPCOLS(A1:A5)</t>
        </is>
      </c>
    </row>
    <row r="42">
      <c r="A42" t="inlineStr">
        <is>
          <t xml:space="preserve">WRAPROWS</t>
        </is>
      </c>
      <c r="B42" t="inlineStr">
        <is>
          <t xml:space="preserve">Lookup &amp; Reference</t>
        </is>
      </c>
      <c r="C42" t="inlineStr">
        <is>
          <t xml:space="preserve">Wrap one-dimensional array into rows or columns.</t>
        </is>
      </c>
      <c r="D42" t="inlineStr">
        <is>
          <t xml:space="preserve">=WRAPROWS(A1:A5)</t>
        </is>
      </c>
    </row>
    <row r="43">
      <c r="A43" t="inlineStr">
        <is>
          <t xml:space="preserve">EXPAND</t>
        </is>
      </c>
      <c r="B43" t="inlineStr">
        <is>
          <t xml:space="preserve">Lookup &amp; Reference</t>
        </is>
      </c>
      <c r="C43" t="inlineStr">
        <is>
          <t xml:space="preserve">Extend a matrix to new dimensions.</t>
        </is>
      </c>
      <c r="D43" t="inlineStr">
        <is>
          <t xml:space="preserve">=EXPAND(A1:A5)</t>
        </is>
      </c>
    </row>
    <row r="44">
      <c r="A44" t="inlineStr">
        <is>
          <t xml:space="preserve">FILTER</t>
        </is>
      </c>
      <c r="B44" t="inlineStr">
        <is>
          <t xml:space="preserve">Lookup &amp; Reference</t>
        </is>
      </c>
      <c r="C44" t="inlineStr">
        <is>
          <t xml:space="preserve">Filter rows using a Boolean include vector.</t>
        </is>
      </c>
      <c r="D44" t="inlineStr">
        <is>
          <t xml:space="preserve">=FILTER(A1:A5)</t>
        </is>
      </c>
    </row>
    <row r="45">
      <c r="A45" t="inlineStr">
        <is>
          <t xml:space="preserve">SORT</t>
        </is>
      </c>
      <c r="B45" t="inlineStr">
        <is>
          <t xml:space="preserve">Lookup &amp; Reference</t>
        </is>
      </c>
      <c r="C45" t="inlineStr">
        <is>
          <t xml:space="preserve">Sort a matrix by a specified column or by an external sort range.</t>
        </is>
      </c>
      <c r="D45" t="inlineStr">
        <is>
          <t xml:space="preserve">=SORT(A1:A5)</t>
        </is>
      </c>
    </row>
    <row r="46">
      <c r="A46" t="inlineStr">
        <is>
          <t xml:space="preserve">SORTBY</t>
        </is>
      </c>
      <c r="B46" t="inlineStr">
        <is>
          <t xml:space="preserve">Lookup &amp; Reference</t>
        </is>
      </c>
      <c r="C46" t="inlineStr">
        <is>
          <t xml:space="preserve">Sort a matrix by a specified column or by an external sort range.</t>
        </is>
      </c>
      <c r="D46" t="inlineStr">
        <is>
          <t xml:space="preserve">=SORTBY(A1:A5)</t>
        </is>
      </c>
    </row>
    <row r="47">
      <c r="A47" t="inlineStr">
        <is>
          <t xml:space="preserve">UNIQUE</t>
        </is>
      </c>
      <c r="B47" t="inlineStr">
        <is>
          <t xml:space="preserve">Lookup &amp; Reference</t>
        </is>
      </c>
      <c r="C47" t="inlineStr">
        <is>
          <t xml:space="preserve">Return distinct rows (or columns).</t>
        </is>
      </c>
      <c r="D47" t="inlineStr">
        <is>
          <t xml:space="preserve">=UNIQUE(A1:A5)</t>
        </is>
      </c>
    </row>
    <row r="48">
      <c r="A48" t="inlineStr">
        <is>
          <t xml:space="preserve">TRIMRANGE</t>
        </is>
      </c>
      <c r="B48" t="inlineStr">
        <is>
          <t xml:space="preserve">Lookup &amp; Reference</t>
        </is>
      </c>
      <c r="C48" t="inlineStr">
        <is>
          <t xml:space="preserve">Remove completely empty bounding rows and columns.</t>
        </is>
      </c>
      <c r="D48" t="inlineStr">
        <is>
          <t xml:space="preserve">=TRIMRANGE(A1:A5)</t>
        </is>
      </c>
    </row>
    <row r="49">
      <c r="A49" t="inlineStr">
        <is>
          <t xml:space="preserve">TEXTSPLIT</t>
        </is>
      </c>
      <c r="B49" t="inlineStr">
        <is>
          <t xml:space="preserve">Text</t>
        </is>
      </c>
      <c r="C49" t="inlineStr">
        <is>
          <t xml:space="preserve">Split a text string by column and optional row delimiters.</t>
        </is>
      </c>
      <c r="D49" t="inlineStr">
        <is>
          <t xml:space="preserve">=INDEX(TEXTSPLIT("a,b",","),1,2)</t>
        </is>
      </c>
    </row>
    <row r="50">
      <c r="A50" t="inlineStr">
        <is>
          <t xml:space="preserve">COUPDAYBS</t>
        </is>
      </c>
      <c r="B50" t="inlineStr">
        <is>
          <t xml:space="preserve">Financial</t>
        </is>
      </c>
      <c r="C50" t="inlineStr">
        <is>
          <t xml:space="preserve">Coupon-date calculations for regular coupon schedules.</t>
        </is>
      </c>
      <c r="D50" t="inlineStr">
        <is>
          <t xml:space="preserve">=COUPNUM(DATE(2026,1,1),DATE(2028,1,1),2)</t>
        </is>
      </c>
    </row>
    <row r="51">
      <c r="A51" t="inlineStr">
        <is>
          <t xml:space="preserve">COUPDAYS</t>
        </is>
      </c>
      <c r="B51" t="inlineStr">
        <is>
          <t xml:space="preserve">Financial</t>
        </is>
      </c>
      <c r="C51" t="inlineStr">
        <is>
          <t xml:space="preserve">Coupon-date calculations for regular coupon schedules.</t>
        </is>
      </c>
      <c r="D51" t="inlineStr">
        <is>
          <t xml:space="preserve">=COUPNUM(DATE(2026,1,1),DATE(2028,1,1),2)</t>
        </is>
      </c>
    </row>
    <row r="52">
      <c r="A52" t="inlineStr">
        <is>
          <t xml:space="preserve">COUPDAYSNC</t>
        </is>
      </c>
      <c r="B52" t="inlineStr">
        <is>
          <t xml:space="preserve">Financial</t>
        </is>
      </c>
      <c r="C52" t="inlineStr">
        <is>
          <t xml:space="preserve">Coupon-date calculations for regular coupon schedules.</t>
        </is>
      </c>
      <c r="D52" t="inlineStr">
        <is>
          <t xml:space="preserve">=COUPNUM(DATE(2026,1,1),DATE(2028,1,1),2)</t>
        </is>
      </c>
    </row>
    <row r="53">
      <c r="A53" t="inlineStr">
        <is>
          <t xml:space="preserve">COUPNCD</t>
        </is>
      </c>
      <c r="B53" t="inlineStr">
        <is>
          <t xml:space="preserve">Financial</t>
        </is>
      </c>
      <c r="C53" t="inlineStr">
        <is>
          <t xml:space="preserve">Coupon-date calculations for regular coupon schedules.</t>
        </is>
      </c>
      <c r="D53" t="inlineStr">
        <is>
          <t xml:space="preserve">=COUPNUM(DATE(2026,1,1),DATE(2028,1,1),2)</t>
        </is>
      </c>
    </row>
    <row r="54">
      <c r="A54" t="inlineStr">
        <is>
          <t xml:space="preserve">COUPNUM</t>
        </is>
      </c>
      <c r="B54" t="inlineStr">
        <is>
          <t xml:space="preserve">Financial</t>
        </is>
      </c>
      <c r="C54" t="inlineStr">
        <is>
          <t xml:space="preserve">Coupon-date calculations for regular coupon schedules.</t>
        </is>
      </c>
      <c r="D54" t="inlineStr">
        <is>
          <t xml:space="preserve">=COUPNUM(DATE(2026,1,1),DATE(2028,1,1),2)</t>
        </is>
      </c>
    </row>
    <row r="55">
      <c r="A55" t="inlineStr">
        <is>
          <t xml:space="preserve">COUPPCD</t>
        </is>
      </c>
      <c r="B55" t="inlineStr">
        <is>
          <t xml:space="preserve">Financial</t>
        </is>
      </c>
      <c r="C55" t="inlineStr">
        <is>
          <t xml:space="preserve">Coupon-date calculations for regular coupon schedules.</t>
        </is>
      </c>
      <c r="D55" t="inlineStr">
        <is>
          <t xml:space="preserve">=COUPNUM(DATE(2026,1,1),DATE(2028,1,1),2)</t>
        </is>
      </c>
    </row>
    <row r="56">
      <c r="A56" t="inlineStr">
        <is>
          <t xml:space="preserve">INTRATE</t>
        </is>
      </c>
      <c r="B56" t="inlineStr">
        <is>
          <t xml:space="preserve">Financial</t>
        </is>
      </c>
      <c r="C56" t="inlineStr">
        <is>
          <t xml:space="preserve">Simple annualized rate from redemption and investment.</t>
        </is>
      </c>
      <c r="D56" t="inlineStr">
        <is>
          <t xml:space="preserve">=INTRATE(A1:A5)</t>
        </is>
      </c>
    </row>
    <row r="57">
      <c r="A57" t="inlineStr">
        <is>
          <t xml:space="preserve">ACCRINTM</t>
        </is>
      </c>
      <c r="B57" t="inlineStr">
        <is>
          <t xml:space="preserve">Financial</t>
        </is>
      </c>
      <c r="C57" t="inlineStr">
        <is>
          <t xml:space="preserve">Accrued interest paid at maturity.</t>
        </is>
      </c>
      <c r="D57" t="inlineStr">
        <is>
          <t xml:space="preserve">=ACCRINTM(A1:A5)</t>
        </is>
      </c>
    </row>
    <row r="58">
      <c r="A58" t="inlineStr">
        <is>
          <t xml:space="preserve">ACCRINT</t>
        </is>
      </c>
      <c r="B58" t="inlineStr">
        <is>
          <t xml:space="preserve">Financial</t>
        </is>
      </c>
      <c r="C58" t="inlineStr">
        <is>
          <t xml:space="preserve">Accrued interest on regular-coupon securities.</t>
        </is>
      </c>
      <c r="D58" t="inlineStr">
        <is>
          <t xml:space="preserve">=ACCRINT(A1:A5)</t>
        </is>
      </c>
    </row>
    <row r="59">
      <c r="A59" t="inlineStr">
        <is>
          <t xml:space="preserve">AMORLINC</t>
        </is>
      </c>
      <c r="B59" t="inlineStr">
        <is>
          <t xml:space="preserve">Financial</t>
        </is>
      </c>
      <c r="C59" t="inlineStr">
        <is>
          <t xml:space="preserve">Depreciation for a period; period zero begins at purchase.</t>
        </is>
      </c>
      <c r="D59" t="inlineStr">
        <is>
          <t xml:space="preserve">=AMORLINC(A1:A5)</t>
        </is>
      </c>
    </row>
    <row r="60">
      <c r="A60" t="inlineStr">
        <is>
          <t xml:space="preserve">AMORDEGRC</t>
        </is>
      </c>
      <c r="B60" t="inlineStr">
        <is>
          <t xml:space="preserve">Financial</t>
        </is>
      </c>
      <c r="C60" t="inlineStr">
        <is>
          <t xml:space="preserve">Depreciation for a period; period zero begins at purchase.</t>
        </is>
      </c>
      <c r="D60" t="inlineStr">
        <is>
          <t xml:space="preserve">=AMORDEGRC(A1:A5)</t>
        </is>
      </c>
    </row>
    <row r="61">
      <c r="A61" t="inlineStr">
        <is>
          <t xml:space="preserve">ODDFPRICE</t>
        </is>
      </c>
      <c r="B61" t="inlineStr">
        <is>
          <t xml:space="preserve">Financial</t>
        </is>
      </c>
      <c r="C61" t="inlineStr">
        <is>
          <t xml:space="preserve">Irregular-coupon price: deterministic simple present-value approximation.</t>
        </is>
      </c>
      <c r="D61" t="inlineStr">
        <is>
          <t xml:space="preserve">=ODDFPRICE(A1:A5)</t>
        </is>
      </c>
    </row>
    <row r="62">
      <c r="A62" t="inlineStr">
        <is>
          <t xml:space="preserve">ODDLPRICE</t>
        </is>
      </c>
      <c r="B62" t="inlineStr">
        <is>
          <t xml:space="preserve">Financial</t>
        </is>
      </c>
      <c r="C62" t="inlineStr">
        <is>
          <t xml:space="preserve">Irregular-coupon price: deterministic simple present-value approximation.</t>
        </is>
      </c>
      <c r="D62" t="inlineStr">
        <is>
          <t xml:space="preserve">=ODDLPRICE(A1:A5)</t>
        </is>
      </c>
    </row>
    <row r="63">
      <c r="A63" t="inlineStr">
        <is>
          <t xml:space="preserve">ODDFYIELD</t>
        </is>
      </c>
      <c r="B63" t="inlineStr">
        <is>
          <t xml:space="preserve">Financial</t>
        </is>
      </c>
      <c r="C63" t="inlineStr">
        <is>
          <t xml:space="preserve">Approximate yield for irregular-coupon bond.</t>
        </is>
      </c>
      <c r="D63" t="inlineStr">
        <is>
          <t xml:space="preserve">=ODDFYIELD(A1:A5)</t>
        </is>
      </c>
    </row>
    <row r="64">
      <c r="A64" t="inlineStr">
        <is>
          <t xml:space="preserve">ODDLYIELD</t>
        </is>
      </c>
      <c r="B64" t="inlineStr">
        <is>
          <t xml:space="preserve">Financial</t>
        </is>
      </c>
      <c r="C64" t="inlineStr">
        <is>
          <t xml:space="preserve">Approximate yield for irregular-coupon bond.</t>
        </is>
      </c>
      <c r="D64" t="inlineStr">
        <is>
          <t xml:space="preserve">=ODDLYIELD(A1:A5)</t>
        </is>
      </c>
    </row>
    <row r="65">
      <c r="A65" t="inlineStr">
        <is>
          <t xml:space="preserve">ASC</t>
        </is>
      </c>
      <c r="B65" t="inlineStr">
        <is>
          <t xml:space="preserve">Text</t>
        </is>
      </c>
      <c r="C65" t="inlineStr">
        <is>
          <t xml:space="preserve">Convert full-width and half-width Latin text.</t>
        </is>
      </c>
      <c r="D65" t="inlineStr">
        <is>
          <t xml:space="preserve">=ASC(A1:A5)</t>
        </is>
      </c>
    </row>
    <row r="66">
      <c r="A66" t="inlineStr">
        <is>
          <t xml:space="preserve">JIS</t>
        </is>
      </c>
      <c r="B66" t="inlineStr">
        <is>
          <t xml:space="preserve">Text</t>
        </is>
      </c>
      <c r="C66" t="inlineStr">
        <is>
          <t xml:space="preserve">Convert full-width and half-width Latin text.</t>
        </is>
      </c>
      <c r="D66" t="inlineStr">
        <is>
          <t xml:space="preserve">=JIS(A1:A5)</t>
        </is>
      </c>
    </row>
    <row r="67">
      <c r="A67" t="inlineStr">
        <is>
          <t xml:space="preserve">PHONETIC</t>
        </is>
      </c>
      <c r="B67" t="inlineStr">
        <is>
          <t xml:space="preserve">Text</t>
        </is>
      </c>
      <c r="C67" t="inlineStr">
        <is>
          <t xml:space="preserve">Return stored phonetic text, if available; plain text is returned otherwise.</t>
        </is>
      </c>
      <c r="D67" t="inlineStr">
        <is>
          <t xml:space="preserve">=PHONETIC(A1:A5)</t>
        </is>
      </c>
    </row>
    <row r="68">
      <c r="A68" t="inlineStr">
        <is>
          <t xml:space="preserve">BAHTTEXT</t>
        </is>
      </c>
      <c r="B68" t="inlineStr">
        <is>
          <t xml:space="preserve">Text</t>
        </is>
      </c>
      <c r="C68" t="inlineStr">
        <is>
          <t xml:space="preserve">Write nonnegative baht and satang amounts in Thai words (six digits max).</t>
        </is>
      </c>
      <c r="D68" t="inlineStr">
        <is>
          <t xml:space="preserve">=BAHTTEXT(A1:A5)</t>
        </is>
      </c>
    </row>
    <row r="69">
      <c r="A69" t="inlineStr">
        <is>
          <t xml:space="preserve">INFO</t>
        </is>
      </c>
      <c r="B69" t="inlineStr">
        <is>
          <t xml:space="preserve">Information</t>
        </is>
      </c>
      <c r="C69" t="inlineStr">
        <is>
          <t xml:space="preserve">Return limited spreadsheet runtime information (no operating-system inspection).</t>
        </is>
      </c>
      <c r="D69" t="inlineStr">
        <is>
          <t xml:space="preserve">=INFO(A1:A5)</t>
        </is>
      </c>
    </row>
    <row r="70">
      <c r="A70" t="inlineStr">
        <is>
          <t xml:space="preserve">SHEET</t>
        </is>
      </c>
      <c r="B70" t="inlineStr">
        <is>
          <t xml:space="preserve">Information</t>
        </is>
      </c>
      <c r="C70" t="inlineStr">
        <is>
          <t xml:space="preserve">Sheet index/count in the active sheet context (cross-sheet references not supported).</t>
        </is>
      </c>
      <c r="D70" t="inlineStr">
        <is>
          <t xml:space="preserve">=SHEET(A1:A5)</t>
        </is>
      </c>
    </row>
    <row r="71">
      <c r="A71" t="inlineStr">
        <is>
          <t xml:space="preserve">SHEETS</t>
        </is>
      </c>
      <c r="B71" t="inlineStr">
        <is>
          <t xml:space="preserve">Information</t>
        </is>
      </c>
      <c r="C71" t="inlineStr">
        <is>
          <t xml:space="preserve">Sheet index/count in the active sheet context (cross-sheet references not supported).</t>
        </is>
      </c>
      <c r="D71" t="inlineStr">
        <is>
          <t xml:space="preserve">=SHEETS(A1:A5)</t>
        </is>
      </c>
    </row>
    <row r="72">
      <c r="A72" t="inlineStr">
        <is>
          <t xml:space="preserve">BESSELI</t>
        </is>
      </c>
      <c r="B72" t="inlineStr">
        <is>
          <t xml:space="preserve">Math &amp; Engineering</t>
        </is>
      </c>
      <c r="C72" t="inlineStr">
        <is>
          <t xml:space="preserve">Modified or ordinary Bessel functions of the first kind.</t>
        </is>
      </c>
      <c r="D72" t="inlineStr">
        <is>
          <t xml:space="preserve">=BESSELI(A1:A5)</t>
        </is>
      </c>
    </row>
    <row r="73">
      <c r="A73" t="inlineStr">
        <is>
          <t xml:space="preserve">BESSELJ</t>
        </is>
      </c>
      <c r="B73" t="inlineStr">
        <is>
          <t xml:space="preserve">Math &amp; Engineering</t>
        </is>
      </c>
      <c r="C73" t="inlineStr">
        <is>
          <t xml:space="preserve">Modified or ordinary Bessel functions of the first kind.</t>
        </is>
      </c>
      <c r="D73" t="inlineStr">
        <is>
          <t xml:space="preserve">=BESSELJ(A1:A5)</t>
        </is>
      </c>
    </row>
    <row r="74">
      <c r="A74" t="inlineStr">
        <is>
          <t xml:space="preserve">BESSELK</t>
        </is>
      </c>
      <c r="B74" t="inlineStr">
        <is>
          <t xml:space="preserve">Math &amp; Engineering</t>
        </is>
      </c>
      <c r="C74" t="inlineStr">
        <is>
          <t xml:space="preserve">Modified and ordinary Bessel functions of the second kind, numerical integral.</t>
        </is>
      </c>
      <c r="D74" t="inlineStr">
        <is>
          <t xml:space="preserve">=BESSELK(A1:A5)</t>
        </is>
      </c>
    </row>
    <row r="75">
      <c r="A75" t="inlineStr">
        <is>
          <t xml:space="preserve">BESSELY</t>
        </is>
      </c>
      <c r="B75" t="inlineStr">
        <is>
          <t xml:space="preserve">Math &amp; Engineering</t>
        </is>
      </c>
      <c r="C75" t="inlineStr">
        <is>
          <t xml:space="preserve">Modified and ordinary Bessel functions of the second kind, numerical integral.</t>
        </is>
      </c>
      <c r="D75" t="inlineStr">
        <is>
          <t xml:space="preserve">=BESSELY(A1:A5)</t>
        </is>
      </c>
    </row>
    <row r="76">
      <c r="A76" t="inlineStr">
        <is>
          <t xml:space="preserve">PERCENTOF</t>
        </is>
      </c>
      <c r="B76" t="inlineStr">
        <is>
          <t xml:space="preserve">Math &amp; Engineering</t>
        </is>
      </c>
      <c r="C76" t="inlineStr">
        <is>
          <t xml:space="preserve">Percentage of a subtotal of a numeric range.</t>
        </is>
      </c>
      <c r="D76" t="inlineStr">
        <is>
          <t xml:space="preserve">=PERCENTOF(A1:A5)</t>
        </is>
      </c>
    </row>
    <row r="77">
      <c r="A77" t="inlineStr">
        <is>
          <t xml:space="preserve">AGGREGATE</t>
        </is>
      </c>
      <c r="B77" t="inlineStr">
        <is>
          <t xml:space="preserve">Other</t>
        </is>
      </c>
      <c r="C77" t="inlineStr">
        <is>
          <t xml:space="preserve">Excel-style aggregate codes 1–14, with common options.</t>
        </is>
      </c>
      <c r="D77" t="inlineStr">
        <is>
          <t xml:space="preserve">=AGGREGATE(A1:A5)</t>
        </is>
      </c>
    </row>
    <row r="78">
      <c r="A78" t="inlineStr">
        <is>
          <t xml:space="preserve">BYROW</t>
        </is>
      </c>
      <c r="B78" t="inlineStr">
        <is>
          <t xml:space="preserve">Lookup &amp; Reference</t>
        </is>
      </c>
      <c r="C78" t="inlineStr">
        <is>
          <t xml:space="preserve">Apply a named aggregate to every row or column (limited alternative to Excel LAMBDA).</t>
        </is>
      </c>
      <c r="D78" t="inlineStr">
        <is>
          <t xml:space="preserve">=INDEX(BYROW(A1:B3,"SUM"),1,1)</t>
        </is>
      </c>
    </row>
    <row r="79">
      <c r="A79" t="inlineStr">
        <is>
          <t xml:space="preserve">BYCOL</t>
        </is>
      </c>
      <c r="B79" t="inlineStr">
        <is>
          <t xml:space="preserve">Lookup &amp; Reference</t>
        </is>
      </c>
      <c r="C79" t="inlineStr">
        <is>
          <t xml:space="preserve">Apply a named aggregate to every row or column (limited alternative to Excel LAMBDA).</t>
        </is>
      </c>
      <c r="D79" t="inlineStr">
        <is>
          <t xml:space="preserve">=INDEX(BYROW(A1:B3,"SUM"),1,1)</t>
        </is>
      </c>
    </row>
    <row r="80">
      <c r="A80" t="inlineStr">
        <is>
          <t xml:space="preserve">MAKEARRAY</t>
        </is>
      </c>
      <c r="B80" t="inlineStr">
        <is>
          <t xml:space="preserve">Lookup &amp; Reference</t>
        </is>
      </c>
      <c r="C80" t="inlineStr">
        <is>
          <t xml:space="preserve">Generate an array by named coordinate operation (limited Lambda alternative).</t>
        </is>
      </c>
      <c r="D80" t="inlineStr">
        <is>
          <t xml:space="preserve">=MAKEARRAY(A1:A5)</t>
        </is>
      </c>
    </row>
    <row r="81">
      <c r="A81" t="inlineStr">
        <is>
          <t xml:space="preserve">MAP</t>
        </is>
      </c>
      <c r="B81" t="inlineStr">
        <is>
          <t xml:space="preserve">Lookup &amp; Reference</t>
        </is>
      </c>
      <c r="C81" t="inlineStr">
        <is>
          <t xml:space="preserve">Map safe unary operations across an array; no code execution.</t>
        </is>
      </c>
      <c r="D81" t="inlineStr">
        <is>
          <t xml:space="preserve">=MAP(A1:A5)</t>
        </is>
      </c>
    </row>
    <row r="82">
      <c r="A82" t="inlineStr">
        <is>
          <t xml:space="preserve">REDUCE</t>
        </is>
      </c>
      <c r="B82" t="inlineStr">
        <is>
          <t xml:space="preserve">Lookup &amp; Reference</t>
        </is>
      </c>
      <c r="C82" t="inlineStr">
        <is>
          <t xml:space="preserve">Reduce or accumulate array values using a named arithmetic operation.</t>
        </is>
      </c>
      <c r="D82" t="inlineStr">
        <is>
          <t xml:space="preserve">=REDUCE(A1:A5)</t>
        </is>
      </c>
    </row>
    <row r="83">
      <c r="A83" t="inlineStr">
        <is>
          <t xml:space="preserve">SCAN</t>
        </is>
      </c>
      <c r="B83" t="inlineStr">
        <is>
          <t xml:space="preserve">Lookup &amp; Reference</t>
        </is>
      </c>
      <c r="C83" t="inlineStr">
        <is>
          <t xml:space="preserve">Reduce or accumulate array values using a named arithmetic operation.</t>
        </is>
      </c>
      <c r="D83" t="inlineStr">
        <is>
          <t xml:space="preserve">=SCAN(A1:A5)</t>
        </is>
      </c>
    </row>
    <row r="84">
      <c r="A84" t="inlineStr">
        <is>
          <t xml:space="preserve">LET</t>
        </is>
      </c>
      <c r="B84" t="inlineStr">
        <is>
          <t xml:space="preserve">Lookup &amp; Reference</t>
        </is>
      </c>
      <c r="C84" t="inlineStr">
        <is>
          <t xml:space="preserve">Limited LET expression: name/value bindings accepted as string names; last argument returned.</t>
        </is>
      </c>
      <c r="D84" t="inlineStr">
        <is>
          <t xml:space="preserve">=LET(A1:A5)</t>
        </is>
      </c>
    </row>
    <row r="85">
      <c r="A85" t="inlineStr">
        <is>
          <t xml:space="preserve">LAMBDA</t>
        </is>
      </c>
      <c r="B85" t="inlineStr">
        <is>
          <t xml:space="preserve">Lookup &amp; Reference</t>
        </is>
      </c>
      <c r="C85" t="inlineStr">
        <is>
          <t xml:space="preserve">Limited formula descriptor: returns last scalar argument, without executing code.</t>
        </is>
      </c>
      <c r="D85" t="inlineStr">
        <is>
          <t xml:space="preserve">=LAMBDA(A1:A5)</t>
        </is>
      </c>
    </row>
    <row r="86">
      <c r="A86" t="inlineStr">
        <is>
          <t xml:space="preserve">ISOMITTED</t>
        </is>
      </c>
      <c r="B86" t="inlineStr">
        <is>
          <t xml:space="preserve">Information</t>
        </is>
      </c>
      <c r="C86" t="inlineStr">
        <is>
          <t xml:space="preserve">True for an omitted optional argument, represented as a blank.</t>
        </is>
      </c>
      <c r="D86" t="inlineStr">
        <is>
          <t xml:space="preserve">=ISOMITTED(A1:A5)</t>
        </is>
      </c>
    </row>
    <row r="87">
      <c r="A87" t="inlineStr">
        <is>
          <t xml:space="preserve">FORECAST.ETS</t>
        </is>
      </c>
      <c r="B87" t="inlineStr">
        <is>
          <t xml:space="preserve">Statistical</t>
        </is>
      </c>
      <c r="C87" t="inlineStr">
        <is>
          <t xml:space="preserve">Offline trend forecast with linear smoothing; not full ETS exponential smoothing.</t>
        </is>
      </c>
      <c r="D87" t="inlineStr">
        <is>
          <t xml:space="preserve">=FORECAST.ETS(A1:A5)</t>
        </is>
      </c>
    </row>
    <row r="88">
      <c r="A88" t="inlineStr">
        <is>
          <t xml:space="preserve">FORECAST.ETS.CONFINT</t>
        </is>
      </c>
      <c r="B88" t="inlineStr">
        <is>
          <t xml:space="preserve">Statistical</t>
        </is>
      </c>
      <c r="C88" t="inlineStr">
        <is>
          <t xml:space="preserve">Offline trend forecast with linear smoothing; not full ETS exponential smoothing.</t>
        </is>
      </c>
      <c r="D88" t="inlineStr">
        <is>
          <t xml:space="preserve">=FORECAST.ETS.CONFINT(A1:A5)</t>
        </is>
      </c>
    </row>
    <row r="89">
      <c r="A89" t="inlineStr">
        <is>
          <t xml:space="preserve">FORECAST.ETS.SEASONALITY</t>
        </is>
      </c>
      <c r="B89" t="inlineStr">
        <is>
          <t xml:space="preserve">Statistical</t>
        </is>
      </c>
      <c r="C89" t="inlineStr">
        <is>
          <t xml:space="preserve">Offline trend forecast with linear smoothing; not full ETS exponential smoothing.</t>
        </is>
      </c>
      <c r="D89" t="inlineStr">
        <is>
          <t xml:space="preserve">=FORECAST.ETS.SEASONALITY(A1:A5)</t>
        </is>
      </c>
    </row>
    <row r="90">
      <c r="A90" t="inlineStr">
        <is>
          <t xml:space="preserve">FORECAST.ETS.STAT</t>
        </is>
      </c>
      <c r="B90" t="inlineStr">
        <is>
          <t xml:space="preserve">Statistical</t>
        </is>
      </c>
      <c r="C90" t="inlineStr">
        <is>
          <t xml:space="preserve">Offline trend forecast with linear smoothing; not full ETS exponential smoothing.</t>
        </is>
      </c>
      <c r="D90" t="inlineStr">
        <is>
          <t xml:space="preserve">=FORECAST.ETS.STAT(A1:A5)</t>
        </is>
      </c>
    </row>
    <row r="91">
      <c r="A91" t="inlineStr">
        <is>
          <t xml:space="preserve">GROUPBY</t>
        </is>
      </c>
      <c r="B91" t="inlineStr">
        <is>
          <t xml:space="preserve">Database</t>
        </is>
      </c>
      <c r="C91" t="inlineStr">
        <is>
          <t xml:space="preserve">Simple grouped sum over labels (array result, no pivot totals).</t>
        </is>
      </c>
      <c r="D91" t="inlineStr">
        <is>
          <t xml:space="preserve">=GROUPBY(A1:A5)</t>
        </is>
      </c>
    </row>
    <row r="92">
      <c r="A92" t="inlineStr">
        <is>
          <t xml:space="preserve">PIVOTBY</t>
        </is>
      </c>
      <c r="B92" t="inlineStr">
        <is>
          <t xml:space="preserve">Database</t>
        </is>
      </c>
      <c r="C92" t="inlineStr">
        <is>
          <t xml:space="preserve">Simple grouped sum over labels (array result, no pivot totals).</t>
        </is>
      </c>
      <c r="D92" t="inlineStr">
        <is>
          <t xml:space="preserve">=PIVOTBY(A1:A5)</t>
        </is>
      </c>
    </row>
    <row r="93">
      <c r="A93" t="inlineStr">
        <is>
          <t xml:space="preserve">FLATTEN</t>
        </is>
      </c>
      <c r="B93" t="inlineStr">
        <is>
          <t xml:space="preserve">Lookup &amp; Reference</t>
        </is>
      </c>
      <c r="C93" t="inlineStr">
        <is>
          <t xml:space="preserve">Flatten a rectangular array into one column (newer Excel beta-style convenience).</t>
        </is>
      </c>
      <c r="D93" t="inlineStr">
        <is>
          <t xml:space="preserve">=FLATTEN(A1:A5)</t>
        </is>
      </c>
    </row>
    <row r="94">
      <c r="A94" t="inlineStr">
        <is>
          <t xml:space="preserve">ISBETWEEN</t>
        </is>
      </c>
      <c r="B94" t="inlineStr">
        <is>
          <t xml:space="preserve">Logical</t>
        </is>
      </c>
      <c r="C94" t="inlineStr">
        <is>
          <t xml:space="preserve">Test whether a number falls within inclusive or exclusive bounds.</t>
        </is>
      </c>
      <c r="D94" t="inlineStr">
        <is>
          <t xml:space="preserve">=ISBETWEEN(A1:A5)</t>
        </is>
      </c>
    </row>
    <row r="95">
      <c r="A95" t="inlineStr">
        <is>
          <t xml:space="preserve">EUROCONVERT</t>
        </is>
      </c>
      <c r="B95" t="inlineStr">
        <is>
          <t xml:space="preserve">Financial</t>
        </is>
      </c>
      <c r="C95" t="inlineStr">
        <is>
          <t xml:space="preserve">Convert historic euro fixed-rate currencies (legacy Excel feature).</t>
        </is>
      </c>
      <c r="D95" t="inlineStr">
        <is>
          <t xml:space="preserve">=EUROCONVERT(A1:A5)</t>
        </is>
      </c>
    </row>
    <row r="96">
      <c r="A96" t="inlineStr">
        <is>
          <t xml:space="preserve">FIELDVALUE</t>
        </is>
      </c>
      <c r="B96" t="inlineStr">
        <is>
          <t xml:space="preserve">Information</t>
        </is>
      </c>
      <c r="C96" t="inlineStr">
        <is>
          <t xml:space="preserve">Extract a field from a key=value string (no linked Excel data types).</t>
        </is>
      </c>
      <c r="D96" t="inlineStr">
        <is>
          <t xml:space="preserve">=FIELDVALUE(A1:A5)</t>
        </is>
      </c>
    </row>
    <row r="97">
      <c r="A97" t="inlineStr">
        <is>
          <t xml:space="preserve">FILTERXML</t>
        </is>
      </c>
      <c r="B97" t="inlineStr">
        <is>
          <t xml:space="preserve">Text</t>
        </is>
      </c>
      <c r="C97" t="inlineStr">
        <is>
          <t xml:space="preserve">Extract first tag text from a simple XML snippet (limited XML XPath selector).</t>
        </is>
      </c>
      <c r="D97" t="inlineStr">
        <is>
          <t xml:space="preserve">=FILTERXML(A1:A5)</t>
        </is>
      </c>
    </row>
    <row r="98">
      <c r="A98" t="inlineStr">
        <is>
          <t xml:space="preserve">DETECTLANGUAGE</t>
        </is>
      </c>
      <c r="B98" t="inlineStr">
        <is>
          <t xml:space="preserve">Information</t>
        </is>
      </c>
      <c r="C98" t="inlineStr">
        <is>
          <t xml:space="preserve">Detect a few languages offline from written characters; unsupported text returns und.</t>
        </is>
      </c>
      <c r="D98" t="inlineStr">
        <is>
          <t xml:space="preserve">=DETECTLANGUAGE(A1:A5)</t>
        </is>
      </c>
    </row>
    <row r="99">
      <c r="A99" t="inlineStr">
        <is>
          <t xml:space="preserve">TRANSLATE</t>
        </is>
      </c>
      <c r="B99" t="inlineStr">
        <is>
          <t xml:space="preserve">Text</t>
        </is>
      </c>
      <c r="C99" t="inlineStr">
        <is>
          <t xml:space="preserve">Offline translation dictionary for limited common greetings.</t>
        </is>
      </c>
      <c r="D99" t="inlineStr">
        <is>
          <t xml:space="preserve">=TRANSLATE(A1:A5)</t>
        </is>
      </c>
    </row>
    <row r="100">
      <c r="A100" t="inlineStr">
        <is>
          <t xml:space="preserve">IMAGE</t>
        </is>
      </c>
      <c r="B100" t="inlineStr">
        <is>
          <t xml:space="preserve">Information</t>
        </is>
      </c>
      <c r="C100" t="inlineStr">
        <is>
          <t xml:space="preserve">Return safe image URL as a text placeholder (GridForge cell image objects not supported).</t>
        </is>
      </c>
      <c r="D100" t="inlineStr">
        <is>
          <t xml:space="preserve">=IMAGE(A1:A5)</t>
        </is>
      </c>
    </row>
    <row r="101">
      <c r="A101" t="inlineStr">
        <is>
          <t xml:space="preserve">CUBESETCOUNT</t>
        </is>
      </c>
      <c r="B101" t="inlineStr">
        <is>
          <t xml:space="preserve">Database</t>
        </is>
      </c>
      <c r="C101" t="inlineStr">
        <is>
          <t xml:space="preserve">Count delimited members in a text set; OLAP connection not supported.</t>
        </is>
      </c>
      <c r="D101" t="inlineStr">
        <is>
          <t xml:space="preserve">=CUBESETCOUNT(A1:A5)</t>
        </is>
      </c>
    </row>
  </sheetData>
</worksheet>
</file>