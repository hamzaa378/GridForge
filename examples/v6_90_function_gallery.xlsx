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90 Functions v6" sheetId="1" r:id="rId1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sz val="11"/>
      <name val="Calibri"/>
      <color theme="1"/>
    </font>
    <font>
      <sz val="11"/>
      <name val="Calibri"/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3568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Fill="1" applyNumberFormat="1" applyAlignment="1"/>
    <xf numFmtId="0" fontId="1" fillId="2" borderId="0" xfId="0" applyFont="1" applyFill="1" applyNumberFormat="1" applyAlignme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xSplit="0" ySplit="1" topLeftCell="A2" state="frozen"/>
    </sheetView>
  </sheetViews>
  <sheetFormatPr defaultRowHeight="15"/>
  <sheetData>
    <row r="1">
      <c r="A1">
        <v>1</v>
      </c>
      <c r="B1">
        <v>2</v>
      </c>
      <c r="D1" t="inlineStr">
        <is>
          <t xml:space="preserve">East</t>
        </is>
      </c>
      <c r="F1" s="1" t="inlineStr">
        <is>
          <t xml:space="preserve">Function</t>
        </is>
      </c>
      <c r="G1" s="1" t="inlineStr">
        <is>
          <t xml:space="preserve">Formula source</t>
        </is>
      </c>
      <c r="H1" s="1" t="inlineStr">
        <is>
          <t xml:space="preserve">Live calculation</t>
        </is>
      </c>
      <c r="I1" s="1" t="inlineStr">
        <is>
          <t xml:space="preserve">Category</t>
        </is>
      </c>
    </row>
    <row r="2">
      <c r="A2">
        <v>2</v>
      </c>
      <c r="B2">
        <v>3</v>
      </c>
      <c r="D2" t="inlineStr">
        <is>
          <t xml:space="preserve">West</t>
        </is>
      </c>
      <c r="E2">
        <f>SUM(A1:A2)</f>
        <v>3</v>
      </c>
      <c r="F2" t="inlineStr">
        <is>
          <t xml:space="preserve">SQRTPI</t>
        </is>
      </c>
      <c r="G2" t="inlineStr">
        <is>
          <t xml:space="preserve">=SQRTPI(4)</t>
        </is>
      </c>
      <c r="H2">
        <f>SQRTPI(4)</f>
        <v>3.5449077018110318</v>
      </c>
      <c r="I2" t="inlineStr">
        <is>
          <t xml:space="preserve">Math &amp; Engineering</t>
        </is>
      </c>
    </row>
    <row r="3">
      <c r="A3">
        <v>3</v>
      </c>
      <c r="B3">
        <v>4</v>
      </c>
      <c r="D3" t="inlineStr">
        <is>
          <t xml:space="preserve">East</t>
        </is>
      </c>
      <c r="F3" t="inlineStr">
        <is>
          <t xml:space="preserve">SUMX2MY2</t>
        </is>
      </c>
      <c r="G3" t="inlineStr">
        <is>
          <t xml:space="preserve">=SUMX2MY2(A1:A2,B1:B2)</t>
        </is>
      </c>
      <c r="H3">
        <f>SUMX2MY2(A1:A2,B1:B2)</f>
        <v>-8</v>
      </c>
      <c r="I3" t="inlineStr">
        <is>
          <t xml:space="preserve">Math &amp; Engineering</t>
        </is>
      </c>
    </row>
    <row r="4">
      <c r="A4">
        <v>4</v>
      </c>
      <c r="B4">
        <v>5</v>
      </c>
      <c r="D4" t="inlineStr">
        <is>
          <t xml:space="preserve">West</t>
        </is>
      </c>
      <c r="F4" t="inlineStr">
        <is>
          <t xml:space="preserve">SUMX2PY2</t>
        </is>
      </c>
      <c r="G4" t="inlineStr">
        <is>
          <t xml:space="preserve">=SUMX2PY2(A1:A2,B1:B2)</t>
        </is>
      </c>
      <c r="H4">
        <f>SUMX2PY2(A1:A2,B1:B2)</f>
        <v>18</v>
      </c>
      <c r="I4" t="inlineStr">
        <is>
          <t xml:space="preserve">Math &amp; Engineering</t>
        </is>
      </c>
    </row>
    <row r="5">
      <c r="A5">
        <v>5</v>
      </c>
      <c r="B5">
        <v>6</v>
      </c>
      <c r="D5" t="inlineStr">
        <is>
          <t xml:space="preserve">East</t>
        </is>
      </c>
      <c r="F5" t="inlineStr">
        <is>
          <t xml:space="preserve">SUMXMY2</t>
        </is>
      </c>
      <c r="G5" t="inlineStr">
        <is>
          <t xml:space="preserve">=SUMXMY2(A1:A2,B1:B2)</t>
        </is>
      </c>
      <c r="H5">
        <f>SUMXMY2(A1:A2,B1:B2)</f>
        <v>2</v>
      </c>
      <c r="I5" t="inlineStr">
        <is>
          <t xml:space="preserve">Math &amp; Engineering</t>
        </is>
      </c>
    </row>
    <row r="6">
      <c r="F6" t="inlineStr">
        <is>
          <t xml:space="preserve">COMBINA</t>
        </is>
      </c>
      <c r="G6" t="inlineStr">
        <is>
          <t xml:space="preserve">=COMBINA(3,2)</t>
        </is>
      </c>
      <c r="H6">
        <f>COMBINA(3,2)</f>
        <v>6</v>
      </c>
      <c r="I6" t="inlineStr">
        <is>
          <t xml:space="preserve">Math &amp; Engineering</t>
        </is>
      </c>
    </row>
    <row r="7">
      <c r="F7" t="inlineStr">
        <is>
          <t xml:space="preserve">PERMUTATIONA</t>
        </is>
      </c>
      <c r="G7" t="inlineStr">
        <is>
          <t xml:space="preserve">=PERMUTATIONA(3,2)</t>
        </is>
      </c>
      <c r="H7">
        <f>PERMUTATIONA(3,2)</f>
        <v>9</v>
      </c>
      <c r="I7" t="inlineStr">
        <is>
          <t xml:space="preserve">Math &amp; Engineering</t>
        </is>
      </c>
    </row>
    <row r="8">
      <c r="F8" t="inlineStr">
        <is>
          <t xml:space="preserve">BITAND</t>
        </is>
      </c>
      <c r="G8" t="inlineStr">
        <is>
          <t xml:space="preserve">=BITAND(6,3)</t>
        </is>
      </c>
      <c r="H8">
        <f>BITAND(6,3)</f>
        <v>2</v>
      </c>
      <c r="I8" t="inlineStr">
        <is>
          <t xml:space="preserve">Math &amp; Engineering</t>
        </is>
      </c>
    </row>
    <row r="9">
      <c r="F9" t="inlineStr">
        <is>
          <t xml:space="preserve">BITOR</t>
        </is>
      </c>
      <c r="G9" t="inlineStr">
        <is>
          <t xml:space="preserve">=BITOR(6,3)</t>
        </is>
      </c>
      <c r="H9">
        <f>BITOR(6,3)</f>
        <v>7</v>
      </c>
      <c r="I9" t="inlineStr">
        <is>
          <t xml:space="preserve">Math &amp; Engineering</t>
        </is>
      </c>
    </row>
    <row r="10">
      <c r="F10" t="inlineStr">
        <is>
          <t xml:space="preserve">BITXOR</t>
        </is>
      </c>
      <c r="G10" t="inlineStr">
        <is>
          <t xml:space="preserve">=BITXOR(6,3)</t>
        </is>
      </c>
      <c r="H10">
        <f>BITXOR(6,3)</f>
        <v>5</v>
      </c>
      <c r="I10" t="inlineStr">
        <is>
          <t xml:space="preserve">Math &amp; Engineering</t>
        </is>
      </c>
    </row>
    <row r="11">
      <c r="F11" t="inlineStr">
        <is>
          <t xml:space="preserve">BITLSHIFT</t>
        </is>
      </c>
      <c r="G11" t="inlineStr">
        <is>
          <t xml:space="preserve">=BITLSHIFT(3,2)</t>
        </is>
      </c>
      <c r="H11">
        <f>BITLSHIFT(3,2)</f>
        <v>12</v>
      </c>
      <c r="I11" t="inlineStr">
        <is>
          <t xml:space="preserve">Math &amp; Engineering</t>
        </is>
      </c>
    </row>
    <row r="12">
      <c r="F12" t="inlineStr">
        <is>
          <t xml:space="preserve">BITRSHIFT</t>
        </is>
      </c>
      <c r="G12" t="inlineStr">
        <is>
          <t xml:space="preserve">=BITRSHIFT(16,2)</t>
        </is>
      </c>
      <c r="H12">
        <f>BITRSHIFT(16,2)</f>
        <v>4</v>
      </c>
      <c r="I12" t="inlineStr">
        <is>
          <t xml:space="preserve">Math &amp; Engineering</t>
        </is>
      </c>
    </row>
    <row r="13">
      <c r="F13" t="inlineStr">
        <is>
          <t xml:space="preserve">DELTA</t>
        </is>
      </c>
      <c r="G13" t="inlineStr">
        <is>
          <t xml:space="preserve">=DELTA(4,4)</t>
        </is>
      </c>
      <c r="H13">
        <f>DELTA(4,4)</f>
        <v>1</v>
      </c>
      <c r="I13" t="inlineStr">
        <is>
          <t xml:space="preserve">Math &amp; Engineering</t>
        </is>
      </c>
    </row>
    <row r="14">
      <c r="F14" t="inlineStr">
        <is>
          <t xml:space="preserve">GESTEP</t>
        </is>
      </c>
      <c r="G14" t="inlineStr">
        <is>
          <t xml:space="preserve">=GESTEP(7,5)</t>
        </is>
      </c>
      <c r="H14">
        <f>GESTEP(7,5)</f>
        <v>1</v>
      </c>
      <c r="I14" t="inlineStr">
        <is>
          <t xml:space="preserve">Math &amp; Engineering</t>
        </is>
      </c>
    </row>
    <row r="15">
      <c r="F15" t="inlineStr">
        <is>
          <t xml:space="preserve">ERF</t>
        </is>
      </c>
      <c r="G15" t="inlineStr">
        <is>
          <t xml:space="preserve">=ERF(0)</t>
        </is>
      </c>
      <c r="H15">
        <f>ERF(0)</f>
        <v>9.999999717180685e-10</v>
      </c>
      <c r="I15" t="inlineStr">
        <is>
          <t xml:space="preserve">Math &amp; Engineering</t>
        </is>
      </c>
    </row>
    <row r="16">
      <c r="F16" t="inlineStr">
        <is>
          <t xml:space="preserve">ERFC</t>
        </is>
      </c>
      <c r="G16" t="inlineStr">
        <is>
          <t xml:space="preserve">=ERFC(0)</t>
        </is>
      </c>
      <c r="H16">
        <f>ERFC(0)</f>
        <v>0.999999999</v>
      </c>
      <c r="I16" t="inlineStr">
        <is>
          <t xml:space="preserve">Math &amp; Engineering</t>
        </is>
      </c>
    </row>
    <row r="17">
      <c r="F17" t="inlineStr">
        <is>
          <t xml:space="preserve">CEILING.MATH</t>
        </is>
      </c>
      <c r="G17" t="inlineStr">
        <is>
          <t xml:space="preserve">=CEILING.MATH(7.2,2)</t>
        </is>
      </c>
      <c r="H17">
        <f>CEILING.MATH(7.2,2)</f>
        <v>8</v>
      </c>
      <c r="I17" t="inlineStr">
        <is>
          <t xml:space="preserve">Math &amp; Engineering</t>
        </is>
      </c>
    </row>
    <row r="18">
      <c r="F18" t="inlineStr">
        <is>
          <t xml:space="preserve">FLOOR.MATH</t>
        </is>
      </c>
      <c r="G18" t="inlineStr">
        <is>
          <t xml:space="preserve">=FLOOR.MATH(7.2,2)</t>
        </is>
      </c>
      <c r="H18">
        <f>FLOOR.MATH(7.2,2)</f>
        <v>6</v>
      </c>
      <c r="I18" t="inlineStr">
        <is>
          <t xml:space="preserve">Math &amp; Engineering</t>
        </is>
      </c>
    </row>
    <row r="19">
      <c r="F19" t="inlineStr">
        <is>
          <t xml:space="preserve">CEILING.PRECISE</t>
        </is>
      </c>
      <c r="G19" t="inlineStr">
        <is>
          <t xml:space="preserve">=CEILING.PRECISE(-4.1,2)</t>
        </is>
      </c>
      <c r="H19">
        <f>CEILING.PRECISE(-4.1,2)</f>
        <v>-4</v>
      </c>
      <c r="I19" t="inlineStr">
        <is>
          <t xml:space="preserve">Math &amp; Engineering</t>
        </is>
      </c>
    </row>
    <row r="20">
      <c r="F20" t="inlineStr">
        <is>
          <t xml:space="preserve">FLOOR.PRECISE</t>
        </is>
      </c>
      <c r="G20" t="inlineStr">
        <is>
          <t xml:space="preserve">=FLOOR.PRECISE(-4.1,2)</t>
        </is>
      </c>
      <c r="H20">
        <f>FLOOR.PRECISE(-4.1,2)</f>
        <v>-6</v>
      </c>
      <c r="I20" t="inlineStr">
        <is>
          <t xml:space="preserve">Math &amp; Engineering</t>
        </is>
      </c>
    </row>
    <row r="21">
      <c r="F21" t="inlineStr">
        <is>
          <t xml:space="preserve">ISO.CEILING</t>
        </is>
      </c>
      <c r="G21" t="inlineStr">
        <is>
          <t xml:space="preserve">=ISO.CEILING(5.2,2)</t>
        </is>
      </c>
      <c r="H21">
        <f>ISO.CEILING(5.2,2)</f>
        <v>6</v>
      </c>
      <c r="I21" t="inlineStr">
        <is>
          <t xml:space="preserve">Math &amp; Engineering</t>
        </is>
      </c>
    </row>
    <row r="22">
      <c r="F22" t="inlineStr">
        <is>
          <t xml:space="preserve">GAMMA</t>
        </is>
      </c>
      <c r="G22" t="inlineStr">
        <is>
          <t xml:space="preserve">=GAMMA(5)</t>
        </is>
      </c>
      <c r="H22">
        <f>GAMMA(5)</f>
        <v>23.99999999999996</v>
      </c>
      <c r="I22" t="inlineStr">
        <is>
          <t xml:space="preserve">Math &amp; Engineering</t>
        </is>
      </c>
    </row>
    <row r="23">
      <c r="F23" t="inlineStr">
        <is>
          <t xml:space="preserve">GAMMALN</t>
        </is>
      </c>
      <c r="G23" t="inlineStr">
        <is>
          <t xml:space="preserve">=GAMMALN(5)</t>
        </is>
      </c>
      <c r="H23">
        <f>GAMMALN(5)</f>
        <v>3.178053830347944</v>
      </c>
      <c r="I23" t="inlineStr">
        <is>
          <t xml:space="preserve">Math &amp; Engineering</t>
        </is>
      </c>
    </row>
    <row r="24">
      <c r="F24" t="inlineStr">
        <is>
          <t xml:space="preserve">GAMMALN.PRECISE</t>
        </is>
      </c>
      <c r="G24" t="inlineStr">
        <is>
          <t xml:space="preserve">=GAMMALN.PRECISE(5)</t>
        </is>
      </c>
      <c r="H24">
        <f>GAMMALN.PRECISE(5)</f>
        <v>3.178053830347944</v>
      </c>
      <c r="I24" t="inlineStr">
        <is>
          <t xml:space="preserve">Math &amp; Engineering</t>
        </is>
      </c>
    </row>
    <row r="25">
      <c r="F25" t="inlineStr">
        <is>
          <t xml:space="preserve">SERIESSUM</t>
        </is>
      </c>
      <c r="G25" t="inlineStr">
        <is>
          <t xml:space="preserve">=SERIESSUM(2,1,2,A1:A3)</t>
        </is>
      </c>
      <c r="H25">
        <f>SERIESSUM(2,1,2,A1:A3)</f>
        <v>114</v>
      </c>
      <c r="I25" t="inlineStr">
        <is>
          <t xml:space="preserve">Math &amp; Engineering</t>
        </is>
      </c>
    </row>
    <row r="26">
      <c r="F26" t="inlineStr">
        <is>
          <t xml:space="preserve">MAXIFS</t>
        </is>
      </c>
      <c r="G26" t="inlineStr">
        <is>
          <t xml:space="preserve">=MAXIFS(A1:A5,D1:D5,"East")</t>
        </is>
      </c>
      <c r="H26">
        <f>MAXIFS(A1:A5,D1:D5,"East")</f>
        <v>5</v>
      </c>
      <c r="I26" t="inlineStr">
        <is>
          <t xml:space="preserve">Statistical</t>
        </is>
      </c>
    </row>
    <row r="27">
      <c r="F27" t="inlineStr">
        <is>
          <t xml:space="preserve">MINIFS</t>
        </is>
      </c>
      <c r="G27" t="inlineStr">
        <is>
          <t xml:space="preserve">=MINIFS(A1:A5,D1:D5,"East")</t>
        </is>
      </c>
      <c r="H27">
        <f>MINIFS(A1:A5,D1:D5,"East")</f>
        <v>1</v>
      </c>
      <c r="I27" t="inlineStr">
        <is>
          <t xml:space="preserve">Statistical</t>
        </is>
      </c>
    </row>
    <row r="28">
      <c r="F28" t="inlineStr">
        <is>
          <t xml:space="preserve">AVERAGEA</t>
        </is>
      </c>
      <c r="G28" t="inlineStr">
        <is>
          <t xml:space="preserve">=AVERAGEA(TRUE,2,"x")</t>
        </is>
      </c>
      <c r="H28">
        <f>AVERAGEA(TRUE,2,"x")</f>
        <v>1</v>
      </c>
      <c r="I28" t="inlineStr">
        <is>
          <t xml:space="preserve">Statistical</t>
        </is>
      </c>
    </row>
    <row r="29">
      <c r="F29" t="inlineStr">
        <is>
          <t xml:space="preserve">MAXA</t>
        </is>
      </c>
      <c r="G29" t="inlineStr">
        <is>
          <t xml:space="preserve">=MAXA(-5,-1)</t>
        </is>
      </c>
      <c r="H29">
        <f>MAXA(-5,-1)</f>
        <v>-1</v>
      </c>
      <c r="I29" t="inlineStr">
        <is>
          <t xml:space="preserve">Statistical</t>
        </is>
      </c>
    </row>
    <row r="30">
      <c r="F30" t="inlineStr">
        <is>
          <t xml:space="preserve">MINA</t>
        </is>
      </c>
      <c r="G30" t="inlineStr">
        <is>
          <t xml:space="preserve">=MINA(1,3)</t>
        </is>
      </c>
      <c r="H30">
        <f>MINA(1,3)</f>
        <v>1</v>
      </c>
      <c r="I30" t="inlineStr">
        <is>
          <t xml:space="preserve">Statistical</t>
        </is>
      </c>
    </row>
    <row r="31">
      <c r="F31" t="inlineStr">
        <is>
          <t xml:space="preserve">STDEV.S</t>
        </is>
      </c>
      <c r="G31" t="inlineStr">
        <is>
          <t xml:space="preserve">=STDEV.S(A1:A5)</t>
        </is>
      </c>
      <c r="H31">
        <f>STDEV.S(A1:A5)</f>
        <v>1.5811388300841898</v>
      </c>
      <c r="I31" t="inlineStr">
        <is>
          <t xml:space="preserve">Statistical</t>
        </is>
      </c>
    </row>
    <row r="32">
      <c r="F32" t="inlineStr">
        <is>
          <t xml:space="preserve">STDEV.P</t>
        </is>
      </c>
      <c r="G32" t="inlineStr">
        <is>
          <t xml:space="preserve">=STDEV.P(A1:A5)</t>
        </is>
      </c>
      <c r="H32">
        <f>STDEV.P(A1:A5)</f>
        <v>1.4142135623730951</v>
      </c>
      <c r="I32" t="inlineStr">
        <is>
          <t xml:space="preserve">Statistical</t>
        </is>
      </c>
    </row>
    <row r="33">
      <c r="F33" t="inlineStr">
        <is>
          <t xml:space="preserve">VAR.S</t>
        </is>
      </c>
      <c r="G33" t="inlineStr">
        <is>
          <t xml:space="preserve">=VAR.S(A1:A5)</t>
        </is>
      </c>
      <c r="H33">
        <f>VAR.S(A1:A5)</f>
        <v>2.5</v>
      </c>
      <c r="I33" t="inlineStr">
        <is>
          <t xml:space="preserve">Statistical</t>
        </is>
      </c>
    </row>
    <row r="34">
      <c r="F34" t="inlineStr">
        <is>
          <t xml:space="preserve">VAR.P</t>
        </is>
      </c>
      <c r="G34" t="inlineStr">
        <is>
          <t xml:space="preserve">=VAR.P(A1:A5)</t>
        </is>
      </c>
      <c r="H34">
        <f>VAR.P(A1:A5)</f>
        <v>2</v>
      </c>
      <c r="I34" t="inlineStr">
        <is>
          <t xml:space="preserve">Statistical</t>
        </is>
      </c>
    </row>
    <row r="35">
      <c r="F35" t="inlineStr">
        <is>
          <t xml:space="preserve">MODE.SNGL</t>
        </is>
      </c>
      <c r="G35" t="inlineStr">
        <is>
          <t xml:space="preserve">=MODE.SNGL(1,2,2,3)</t>
        </is>
      </c>
      <c r="H35">
        <f>MODE.SNGL(1,2,2,3)</f>
        <v>2</v>
      </c>
      <c r="I35" t="inlineStr">
        <is>
          <t xml:space="preserve">Statistical</t>
        </is>
      </c>
    </row>
    <row r="36">
      <c r="F36" t="inlineStr">
        <is>
          <t xml:space="preserve">PERCENTILE.INC</t>
        </is>
      </c>
      <c r="G36" t="inlineStr">
        <is>
          <t xml:space="preserve">=PERCENTILE.INC(A1:A5,0.75)</t>
        </is>
      </c>
      <c r="H36">
        <f>PERCENTILE.INC(A1:A5,0.75)</f>
        <v>4</v>
      </c>
      <c r="I36" t="inlineStr">
        <is>
          <t xml:space="preserve">Statistical</t>
        </is>
      </c>
    </row>
    <row r="37">
      <c r="F37" t="inlineStr">
        <is>
          <t xml:space="preserve">PERCENTILE.EXC</t>
        </is>
      </c>
      <c r="G37" t="inlineStr">
        <is>
          <t xml:space="preserve">=PERCENTILE.EXC(A1:A5,0.5)</t>
        </is>
      </c>
      <c r="H37">
        <f>PERCENTILE.EXC(A1:A5,0.5)</f>
        <v>3</v>
      </c>
      <c r="I37" t="inlineStr">
        <is>
          <t xml:space="preserve">Statistical</t>
        </is>
      </c>
    </row>
    <row r="38">
      <c r="F38" t="inlineStr">
        <is>
          <t xml:space="preserve">PERCENTRANK.INC</t>
        </is>
      </c>
      <c r="G38" t="inlineStr">
        <is>
          <t xml:space="preserve">=PERCENTRANK.INC(A1:A5,3)</t>
        </is>
      </c>
      <c r="H38">
        <f>PERCENTRANK.INC(A1:A5,3)</f>
        <v>0.5</v>
      </c>
      <c r="I38" t="inlineStr">
        <is>
          <t xml:space="preserve">Statistical</t>
        </is>
      </c>
    </row>
    <row r="39">
      <c r="F39" t="inlineStr">
        <is>
          <t xml:space="preserve">PERCENTRANK.EXC</t>
        </is>
      </c>
      <c r="G39" t="inlineStr">
        <is>
          <t xml:space="preserve">=PERCENTRANK.EXC(A1:A5,3)</t>
        </is>
      </c>
      <c r="H39">
        <f>PERCENTRANK.EXC(A1:A5,3)</f>
        <v>0.5</v>
      </c>
      <c r="I39" t="inlineStr">
        <is>
          <t xml:space="preserve">Statistical</t>
        </is>
      </c>
    </row>
    <row r="40">
      <c r="F40" t="inlineStr">
        <is>
          <t xml:space="preserve">QUARTILE.INC</t>
        </is>
      </c>
      <c r="G40" t="inlineStr">
        <is>
          <t xml:space="preserve">=QUARTILE.INC(A1:A5,1)</t>
        </is>
      </c>
      <c r="H40">
        <f>QUARTILE.INC(A1:A5,1)</f>
        <v>2</v>
      </c>
      <c r="I40" t="inlineStr">
        <is>
          <t xml:space="preserve">Statistical</t>
        </is>
      </c>
    </row>
    <row r="41">
      <c r="F41" t="inlineStr">
        <is>
          <t xml:space="preserve">QUARTILE.EXC</t>
        </is>
      </c>
      <c r="G41" t="inlineStr">
        <is>
          <t xml:space="preserve">=QUARTILE.EXC(A1:A5,1)</t>
        </is>
      </c>
      <c r="H41">
        <f>QUARTILE.EXC(A1:A5,1)</f>
        <v>1.5</v>
      </c>
      <c r="I41" t="inlineStr">
        <is>
          <t xml:space="preserve">Statistical</t>
        </is>
      </c>
    </row>
    <row r="42">
      <c r="F42" t="inlineStr">
        <is>
          <t xml:space="preserve">RANK.EQ</t>
        </is>
      </c>
      <c r="G42" t="inlineStr">
        <is>
          <t xml:space="preserve">=RANK.EQ(4,A1:A5)</t>
        </is>
      </c>
      <c r="H42">
        <f>RANK.EQ(4,A1:A5)</f>
        <v>2</v>
      </c>
      <c r="I42" t="inlineStr">
        <is>
          <t xml:space="preserve">Statistical</t>
        </is>
      </c>
    </row>
    <row r="43">
      <c r="F43" t="inlineStr">
        <is>
          <t xml:space="preserve">RANK.AVG</t>
        </is>
      </c>
      <c r="G43" t="inlineStr">
        <is>
          <t xml:space="preserve">=RANK.AVG(2,A1:A5)</t>
        </is>
      </c>
      <c r="H43">
        <f>RANK.AVG(2,A1:A5)</f>
        <v>4</v>
      </c>
      <c r="I43" t="inlineStr">
        <is>
          <t xml:space="preserve">Statistical</t>
        </is>
      </c>
    </row>
    <row r="44">
      <c r="F44" t="inlineStr">
        <is>
          <t xml:space="preserve">FORECAST.LINEAR</t>
        </is>
      </c>
      <c r="G44" t="inlineStr">
        <is>
          <t xml:space="preserve">=FORECAST.LINEAR(6,B1:B5,A1:A5)</t>
        </is>
      </c>
      <c r="H44">
        <f>FORECAST.LINEAR(6,B1:B5,A1:A5)</f>
        <v>7</v>
      </c>
      <c r="I44" t="inlineStr">
        <is>
          <t xml:space="preserve">Statistical</t>
        </is>
      </c>
    </row>
    <row r="45">
      <c r="F45" t="inlineStr">
        <is>
          <t xml:space="preserve">SKEW.P</t>
        </is>
      </c>
      <c r="G45" t="inlineStr">
        <is>
          <t xml:space="preserve">=SKEW.P(A1:A3)</t>
        </is>
      </c>
      <c r="H45">
        <f>SKEW.P(A1:A3)</f>
        <v>0</v>
      </c>
      <c r="I45" t="inlineStr">
        <is>
          <t xml:space="preserve">Statistical</t>
        </is>
      </c>
    </row>
    <row r="46">
      <c r="F46" t="inlineStr">
        <is>
          <t xml:space="preserve">FISHER</t>
        </is>
      </c>
      <c r="G46" t="inlineStr">
        <is>
          <t xml:space="preserve">=FISHER(0)</t>
        </is>
      </c>
      <c r="H46">
        <f>FISHER(0)</f>
        <v>0</v>
      </c>
      <c r="I46" t="inlineStr">
        <is>
          <t xml:space="preserve">Statistical</t>
        </is>
      </c>
    </row>
    <row r="47">
      <c r="F47" t="inlineStr">
        <is>
          <t xml:space="preserve">FISHERINV</t>
        </is>
      </c>
      <c r="G47" t="inlineStr">
        <is>
          <t xml:space="preserve">=FISHERINV(0)</t>
        </is>
      </c>
      <c r="H47">
        <f>FISHERINV(0)</f>
        <v>0</v>
      </c>
      <c r="I47" t="inlineStr">
        <is>
          <t xml:space="preserve">Statistical</t>
        </is>
      </c>
    </row>
    <row r="48">
      <c r="F48" t="inlineStr">
        <is>
          <t xml:space="preserve">BINOM.DIST</t>
        </is>
      </c>
      <c r="G48" t="inlineStr">
        <is>
          <t xml:space="preserve">=BINOM.DIST(2,4,0.5,FALSE)</t>
        </is>
      </c>
      <c r="H48">
        <f>BINOM.DIST(2,4,0.5,FALSE)</f>
        <v>0.375</v>
      </c>
      <c r="I48" t="inlineStr">
        <is>
          <t xml:space="preserve">Statistical</t>
        </is>
      </c>
    </row>
    <row r="49">
      <c r="F49" t="inlineStr">
        <is>
          <t xml:space="preserve">POISSON.DIST</t>
        </is>
      </c>
      <c r="G49" t="inlineStr">
        <is>
          <t xml:space="preserve">=POISSON.DIST(0,2,FALSE)</t>
        </is>
      </c>
      <c r="H49">
        <f>POISSON.DIST(0,2,FALSE)</f>
        <v>0.1353352832366128</v>
      </c>
      <c r="I49" t="inlineStr">
        <is>
          <t xml:space="preserve">Statistical</t>
        </is>
      </c>
    </row>
    <row r="50">
      <c r="F50" t="inlineStr">
        <is>
          <t xml:space="preserve">EXPON.DIST</t>
        </is>
      </c>
      <c r="G50" t="inlineStr">
        <is>
          <t xml:space="preserve">=EXPON.DIST(2,0.5,TRUE)</t>
        </is>
      </c>
      <c r="H50">
        <f>EXPON.DIST(2,0.5,TRUE)</f>
        <v>0.6321205588285577</v>
      </c>
      <c r="I50" t="inlineStr">
        <is>
          <t xml:space="preserve">Statistical</t>
        </is>
      </c>
    </row>
    <row r="51">
      <c r="F51" t="inlineStr">
        <is>
          <t xml:space="preserve">WEIBULL.DIST</t>
        </is>
      </c>
      <c r="G51" t="inlineStr">
        <is>
          <t xml:space="preserve">=WEIBULL.DIST(2,1,2,TRUE)</t>
        </is>
      </c>
      <c r="H51">
        <f>WEIBULL.DIST(2,1,2,TRUE)</f>
        <v>0.6321205588285577</v>
      </c>
      <c r="I51" t="inlineStr">
        <is>
          <t xml:space="preserve">Statistical</t>
        </is>
      </c>
    </row>
    <row r="52">
      <c r="F52" t="inlineStr">
        <is>
          <t xml:space="preserve">NORM.DIST</t>
        </is>
      </c>
      <c r="G52" t="inlineStr">
        <is>
          <t xml:space="preserve">=NORM.DIST(0,0,1,TRUE)</t>
        </is>
      </c>
      <c r="H52">
        <f>NORM.DIST(0,0,1,TRUE)</f>
        <v>0.5000000005</v>
      </c>
      <c r="I52" t="inlineStr">
        <is>
          <t xml:space="preserve">Statistical</t>
        </is>
      </c>
    </row>
    <row r="53">
      <c r="F53" t="inlineStr">
        <is>
          <t xml:space="preserve">NORM.INV</t>
        </is>
      </c>
      <c r="G53" t="inlineStr">
        <is>
          <t xml:space="preserve">=NORM.INV(0.5,0,1)</t>
        </is>
      </c>
      <c r="H53">
        <f>NORM.INV(0.5,0,1)</f>
        <v>-8.885729236409477e-27</v>
      </c>
      <c r="I53" t="inlineStr">
        <is>
          <t xml:space="preserve">Statistical</t>
        </is>
      </c>
    </row>
    <row r="54">
      <c r="F54" t="inlineStr">
        <is>
          <t xml:space="preserve">NORM.S.DIST</t>
        </is>
      </c>
      <c r="G54" t="inlineStr">
        <is>
          <t xml:space="preserve">=NORM.S.DIST(0,FALSE)</t>
        </is>
      </c>
      <c r="H54">
        <f>NORM.S.DIST(0,FALSE)</f>
        <v>0.3989422804014327</v>
      </c>
      <c r="I54" t="inlineStr">
        <is>
          <t xml:space="preserve">Statistical</t>
        </is>
      </c>
    </row>
    <row r="55">
      <c r="F55" t="inlineStr">
        <is>
          <t xml:space="preserve">NORM.S.INV</t>
        </is>
      </c>
      <c r="G55" t="inlineStr">
        <is>
          <t xml:space="preserve">=NORM.S.INV(0.5)</t>
        </is>
      </c>
      <c r="H55">
        <f>NORM.S.INV(0.5)</f>
        <v>-8.885729236409477e-27</v>
      </c>
      <c r="I55" t="inlineStr">
        <is>
          <t xml:space="preserve">Statistical</t>
        </is>
      </c>
    </row>
    <row r="56">
      <c r="F56" t="inlineStr">
        <is>
          <t xml:space="preserve">LOGNORM.DIST</t>
        </is>
      </c>
      <c r="G56" t="inlineStr">
        <is>
          <t xml:space="preserve">=LOGNORM.DIST(1,0,1,TRUE)</t>
        </is>
      </c>
      <c r="H56">
        <f>LOGNORM.DIST(1,0,1,TRUE)</f>
        <v>0.5000000005</v>
      </c>
      <c r="I56" t="inlineStr">
        <is>
          <t xml:space="preserve">Statistical</t>
        </is>
      </c>
    </row>
    <row r="57">
      <c r="F57" t="inlineStr">
        <is>
          <t xml:space="preserve">LOGNORM.INV</t>
        </is>
      </c>
      <c r="G57" t="inlineStr">
        <is>
          <t xml:space="preserve">=LOGNORM.INV(0.5,0,1)</t>
        </is>
      </c>
      <c r="H57">
        <f>LOGNORM.INV(0.5,0,1)</f>
        <v>1</v>
      </c>
      <c r="I57" t="inlineStr">
        <is>
          <t xml:space="preserve">Statistical</t>
        </is>
      </c>
    </row>
    <row r="58">
      <c r="F58" t="inlineStr">
        <is>
          <t xml:space="preserve">CONFIDENCE.NORM</t>
        </is>
      </c>
      <c r="G58" t="inlineStr">
        <is>
          <t xml:space="preserve">=CONFIDENCE.NORM(0.05,2,100)</t>
        </is>
      </c>
      <c r="H58">
        <f>CONFIDENCE.NORM(0.05,2,100)</f>
        <v>0.3919925606549345</v>
      </c>
      <c r="I58" t="inlineStr">
        <is>
          <t xml:space="preserve">Statistical</t>
        </is>
      </c>
    </row>
    <row r="59">
      <c r="F59" t="inlineStr">
        <is>
          <t xml:space="preserve">PHI</t>
        </is>
      </c>
      <c r="G59" t="inlineStr">
        <is>
          <t xml:space="preserve">=PHI(0)</t>
        </is>
      </c>
      <c r="H59">
        <f>PHI(0)</f>
        <v>0.3989422804014327</v>
      </c>
      <c r="I59" t="inlineStr">
        <is>
          <t xml:space="preserve">Statistical</t>
        </is>
      </c>
    </row>
    <row r="60">
      <c r="F60" t="inlineStr">
        <is>
          <t xml:space="preserve">GAUSS</t>
        </is>
      </c>
      <c r="G60" t="inlineStr">
        <is>
          <t xml:space="preserve">=GAUSS(0)</t>
        </is>
      </c>
      <c r="H60">
        <f>GAUSS(0)</f>
        <v>5.000000413701855e-10</v>
      </c>
      <c r="I60" t="inlineStr">
        <is>
          <t xml:space="preserve">Statistical</t>
        </is>
      </c>
    </row>
    <row r="61">
      <c r="F61" t="inlineStr">
        <is>
          <t xml:space="preserve">Z.TEST</t>
        </is>
      </c>
      <c r="G61" t="inlineStr">
        <is>
          <t xml:space="preserve">=Z.TEST(A1:A5,3)</t>
        </is>
      </c>
      <c r="H61">
        <f>Z.TEST(A1:A5,3)</f>
        <v>0.49999999949999996</v>
      </c>
      <c r="I61" t="inlineStr">
        <is>
          <t xml:space="preserve">Statistical</t>
        </is>
      </c>
    </row>
    <row r="62">
      <c r="F62" t="inlineStr">
        <is>
          <t xml:space="preserve">ENCODEURL</t>
        </is>
      </c>
      <c r="G62" t="inlineStr">
        <is>
          <t xml:space="preserve">=ENCODEURL("a b")</t>
        </is>
      </c>
      <c r="H62">
        <f>ENCODEURL("a b")</f>
      </c>
      <c r="I62" t="inlineStr">
        <is>
          <t xml:space="preserve">Text</t>
        </is>
      </c>
    </row>
    <row r="63">
      <c r="F63" t="inlineStr">
        <is>
          <t xml:space="preserve">ARRAYTOTEXT</t>
        </is>
      </c>
      <c r="G63" t="inlineStr">
        <is>
          <t xml:space="preserve">=ARRAYTOTEXT(A1:A2)</t>
        </is>
      </c>
      <c r="H63">
        <f>ARRAYTOTEXT(A1:A2)</f>
      </c>
      <c r="I63" t="inlineStr">
        <is>
          <t xml:space="preserve">Text</t>
        </is>
      </c>
    </row>
    <row r="64">
      <c r="F64" t="inlineStr">
        <is>
          <t xml:space="preserve">VALUETOTEXT</t>
        </is>
      </c>
      <c r="G64" t="inlineStr">
        <is>
          <t xml:space="preserve">=VALUETOTEXT("cat",1)</t>
        </is>
      </c>
      <c r="H64">
        <f>VALUETOTEXT("cat",1)</f>
      </c>
      <c r="I64" t="inlineStr">
        <is>
          <t xml:space="preserve">Text</t>
        </is>
      </c>
    </row>
    <row r="65">
      <c r="F65" t="inlineStr">
        <is>
          <t xml:space="preserve">REGEXEXTRACT</t>
        </is>
      </c>
      <c r="G65" t="inlineStr">
        <is>
          <t xml:space="preserve">=REGEXEXTRACT("AB123","[0-9]+")</t>
        </is>
      </c>
      <c r="H65">
        <f>REGEXEXTRACT("AB123","[0-9]+")</f>
      </c>
      <c r="I65" t="inlineStr">
        <is>
          <t xml:space="preserve">Text</t>
        </is>
      </c>
    </row>
    <row r="66">
      <c r="F66" t="inlineStr">
        <is>
          <t xml:space="preserve">IFNA</t>
        </is>
      </c>
      <c r="G66" t="inlineStr">
        <is>
          <t xml:space="preserve">=IFNA(NA(),7)</t>
        </is>
      </c>
      <c r="H66">
        <f>IFNA(NA(),7)</f>
        <v>7</v>
      </c>
      <c r="I66" t="inlineStr">
        <is>
          <t xml:space="preserve">Logical</t>
        </is>
      </c>
    </row>
    <row r="67">
      <c r="F67" t="inlineStr">
        <is>
          <t xml:space="preserve">XMATCH</t>
        </is>
      </c>
      <c r="G67" t="inlineStr">
        <is>
          <t xml:space="preserve">=XMATCH("East",D1:D5)</t>
        </is>
      </c>
      <c r="H67">
        <f>XMATCH("East",D1:D5)</f>
        <v>1</v>
      </c>
      <c r="I67" t="inlineStr">
        <is>
          <t xml:space="preserve">Lookup &amp; Reference</t>
        </is>
      </c>
    </row>
    <row r="68">
      <c r="F68" t="inlineStr">
        <is>
          <t xml:space="preserve">ROW</t>
        </is>
      </c>
      <c r="G68" t="inlineStr">
        <is>
          <t xml:space="preserve">=ROW(A4)</t>
        </is>
      </c>
      <c r="H68">
        <f>ROW(A4)</f>
        <v>4</v>
      </c>
      <c r="I68" t="inlineStr">
        <is>
          <t xml:space="preserve">Lookup &amp; Reference</t>
        </is>
      </c>
    </row>
    <row r="69">
      <c r="F69" t="inlineStr">
        <is>
          <t xml:space="preserve">COLUMN</t>
        </is>
      </c>
      <c r="G69" t="inlineStr">
        <is>
          <t xml:space="preserve">=COLUMN(B3)</t>
        </is>
      </c>
      <c r="H69">
        <f>COLUMN(B3)</f>
        <v>2</v>
      </c>
      <c r="I69" t="inlineStr">
        <is>
          <t xml:space="preserve">Lookup &amp; Reference</t>
        </is>
      </c>
    </row>
    <row r="70">
      <c r="F70" t="inlineStr">
        <is>
          <t xml:space="preserve">FORMULATEXT</t>
        </is>
      </c>
      <c r="G70" t="inlineStr">
        <is>
          <t xml:space="preserve">=FORMULATEXT(E2)</t>
        </is>
      </c>
      <c r="H70">
        <f>FORMULATEXT(E2)</f>
      </c>
      <c r="I70" t="inlineStr">
        <is>
          <t xml:space="preserve">Lookup &amp; Reference</t>
        </is>
      </c>
    </row>
    <row r="71">
      <c r="F71" t="inlineStr">
        <is>
          <t xml:space="preserve">ISFORMULA</t>
        </is>
      </c>
      <c r="G71" t="inlineStr">
        <is>
          <t xml:space="preserve">=ISFORMULA(E2)</t>
        </is>
      </c>
      <c r="H71">
        <f>ISFORMULA(E2)</f>
      </c>
      <c r="I71" t="inlineStr">
        <is>
          <t xml:space="preserve">Information</t>
        </is>
      </c>
    </row>
    <row r="72">
      <c r="F72" t="inlineStr">
        <is>
          <t xml:space="preserve">INDIRECT</t>
        </is>
      </c>
      <c r="G72" t="inlineStr">
        <is>
          <t xml:space="preserve">=INDIRECT("A3")</t>
        </is>
      </c>
      <c r="H72">
        <f>INDIRECT("A3")</f>
        <v>3</v>
      </c>
      <c r="I72" t="inlineStr">
        <is>
          <t xml:space="preserve">Lookup &amp; Reference</t>
        </is>
      </c>
    </row>
    <row r="73">
      <c r="F73" t="inlineStr">
        <is>
          <t xml:space="preserve">OFFSET</t>
        </is>
      </c>
      <c r="G73" t="inlineStr">
        <is>
          <t xml:space="preserve">=OFFSET(A1,2,1)</t>
        </is>
      </c>
      <c r="H73">
        <f>OFFSET(A1,2,1)</f>
        <v>4</v>
      </c>
      <c r="I73" t="inlineStr">
        <is>
          <t xml:space="preserve">Lookup &amp; Reference</t>
        </is>
      </c>
    </row>
    <row r="74">
      <c r="F74" t="inlineStr">
        <is>
          <t xml:space="preserve">HYPERLINK</t>
        </is>
      </c>
      <c r="G74" t="inlineStr">
        <is>
          <t xml:space="preserve">=HYPERLINK("https://example.com","Example")</t>
        </is>
      </c>
      <c r="H74">
        <f>HYPERLINK("https://example.com","Example")</f>
      </c>
      <c r="I74" t="inlineStr">
        <is>
          <t xml:space="preserve">Lookup &amp; Reference</t>
        </is>
      </c>
    </row>
    <row r="75">
      <c r="F75" t="inlineStr">
        <is>
          <t xml:space="preserve">AREAS</t>
        </is>
      </c>
      <c r="G75" t="inlineStr">
        <is>
          <t xml:space="preserve">=AREAS(A1:A5)</t>
        </is>
      </c>
      <c r="H75">
        <f>AREAS(A1:A5)</f>
        <v>1</v>
      </c>
      <c r="I75" t="inlineStr">
        <is>
          <t xml:space="preserve">Lookup &amp; Reference</t>
        </is>
      </c>
    </row>
    <row r="76">
      <c r="F76" t="inlineStr">
        <is>
          <t xml:space="preserve">NA</t>
        </is>
      </c>
      <c r="G76" t="inlineStr">
        <is>
          <t xml:space="preserve">=NA()</t>
        </is>
      </c>
      <c r="H76">
        <f>NA()</f>
      </c>
      <c r="I76" t="inlineStr">
        <is>
          <t xml:space="preserve">Information</t>
        </is>
      </c>
    </row>
    <row r="77">
      <c r="F77" t="inlineStr">
        <is>
          <t xml:space="preserve">ERROR.TYPE</t>
        </is>
      </c>
      <c r="G77" t="inlineStr">
        <is>
          <t xml:space="preserve">=ERROR.TYPE(1/0)</t>
        </is>
      </c>
      <c r="H77">
        <f>ERROR.TYPE(1/0)</f>
        <v>2</v>
      </c>
      <c r="I77" t="inlineStr">
        <is>
          <t xml:space="preserve">Information</t>
        </is>
      </c>
    </row>
    <row r="78">
      <c r="F78" t="inlineStr">
        <is>
          <t xml:space="preserve">ISREF</t>
        </is>
      </c>
      <c r="G78" t="inlineStr">
        <is>
          <t xml:space="preserve">=ISREF(A1)</t>
        </is>
      </c>
      <c r="H78">
        <f>ISREF(A1)</f>
      </c>
      <c r="I78" t="inlineStr">
        <is>
          <t xml:space="preserve">Information</t>
        </is>
      </c>
    </row>
    <row r="79">
      <c r="F79" t="inlineStr">
        <is>
          <t xml:space="preserve">CELL</t>
        </is>
      </c>
      <c r="G79" t="inlineStr">
        <is>
          <t xml:space="preserve">=CELL("address",B3)</t>
        </is>
      </c>
      <c r="H79">
        <f>CELL("address",B3)</f>
      </c>
      <c r="I79" t="inlineStr">
        <is>
          <t xml:space="preserve">Lookup &amp; Reference</t>
        </is>
      </c>
    </row>
    <row r="80">
      <c r="F80" t="inlineStr">
        <is>
          <t xml:space="preserve">CUMIPMT</t>
        </is>
      </c>
      <c r="G80" t="inlineStr">
        <is>
          <t xml:space="preserve">=CUMIPMT(0.01,12,1000,1,1,0)</t>
        </is>
      </c>
      <c r="H80">
        <f>CUMIPMT(0.01,12,1000,1,1,0)</f>
        <v>-10</v>
      </c>
      <c r="I80" t="inlineStr">
        <is>
          <t xml:space="preserve">Financial</t>
        </is>
      </c>
    </row>
    <row r="81">
      <c r="F81" t="inlineStr">
        <is>
          <t xml:space="preserve">CUMPRINC</t>
        </is>
      </c>
      <c r="G81" t="inlineStr">
        <is>
          <t xml:space="preserve">=CUMPRINC(0.01,12,1000,1,1,0)</t>
        </is>
      </c>
      <c r="H81">
        <f>CUMPRINC(0.01,12,1000,1,1,0)</f>
        <v>-78.84878867834166</v>
      </c>
      <c r="I81" t="inlineStr">
        <is>
          <t xml:space="preserve">Financial</t>
        </is>
      </c>
    </row>
    <row r="82">
      <c r="F82" t="inlineStr">
        <is>
          <t xml:space="preserve">ISPMT</t>
        </is>
      </c>
      <c r="G82" t="inlineStr">
        <is>
          <t xml:space="preserve">=ISPMT(0.05,2,12,1000)</t>
        </is>
      </c>
      <c r="H82">
        <f>ISPMT(0.05,2,12,1000)</f>
        <v>-41.666666666666664</v>
      </c>
      <c r="I82" t="inlineStr">
        <is>
          <t xml:space="preserve">Financial</t>
        </is>
      </c>
    </row>
    <row r="83">
      <c r="F83" t="inlineStr">
        <is>
          <t xml:space="preserve">DB</t>
        </is>
      </c>
      <c r="G83" t="inlineStr">
        <is>
          <t xml:space="preserve">=DB(10000,1000,5,1)</t>
        </is>
      </c>
      <c r="H83">
        <f>DB(10000,1000,5,1)</f>
        <v>3690</v>
      </c>
      <c r="I83" t="inlineStr">
        <is>
          <t xml:space="preserve">Financial</t>
        </is>
      </c>
    </row>
    <row r="84">
      <c r="F84" t="inlineStr">
        <is>
          <t xml:space="preserve">VDB</t>
        </is>
      </c>
      <c r="G84" t="inlineStr">
        <is>
          <t xml:space="preserve">=VDB(10000,1000,5,0,1)</t>
        </is>
      </c>
      <c r="H84">
        <f>VDB(10000,1000,5,0,1)</f>
        <v>4000</v>
      </c>
      <c r="I84" t="inlineStr">
        <is>
          <t xml:space="preserve">Financial</t>
        </is>
      </c>
    </row>
    <row r="85">
      <c r="F85" t="inlineStr">
        <is>
          <t xml:space="preserve">PDURATION</t>
        </is>
      </c>
      <c r="G85" t="inlineStr">
        <is>
          <t xml:space="preserve">=PDURATION(0.1,1000,2000)</t>
        </is>
      </c>
      <c r="H85">
        <f>PDURATION(0.1,1000,2000)</f>
        <v>7.272540897341713</v>
      </c>
      <c r="I85" t="inlineStr">
        <is>
          <t xml:space="preserve">Financial</t>
        </is>
      </c>
    </row>
    <row r="86">
      <c r="F86" t="inlineStr">
        <is>
          <t xml:space="preserve">DOLLARDE</t>
        </is>
      </c>
      <c r="G86" t="inlineStr">
        <is>
          <t xml:space="preserve">=DOLLARDE(1.02,16)</t>
        </is>
      </c>
      <c r="H86">
        <f>DOLLARDE(1.02,16)</f>
        <v>1.125</v>
      </c>
      <c r="I86" t="inlineStr">
        <is>
          <t xml:space="preserve">Financial</t>
        </is>
      </c>
    </row>
    <row r="87">
      <c r="F87" t="inlineStr">
        <is>
          <t xml:space="preserve">DOLLARFR</t>
        </is>
      </c>
      <c r="G87" t="inlineStr">
        <is>
          <t xml:space="preserve">=DOLLARFR(1.125,16)</t>
        </is>
      </c>
      <c r="H87">
        <f>DOLLARFR(1.125,16)</f>
        <v>1.02</v>
      </c>
      <c r="I87" t="inlineStr">
        <is>
          <t xml:space="preserve">Financial</t>
        </is>
      </c>
    </row>
    <row r="88">
      <c r="F88" t="inlineStr">
        <is>
          <t xml:space="preserve">PRICEDISC</t>
        </is>
      </c>
      <c r="G88" t="inlineStr">
        <is>
          <t xml:space="preserve">=PRICEDISC(45000,45100,0.05,100)</t>
        </is>
      </c>
      <c r="H88">
        <f>PRICEDISC(45000,45100,0.05,100)</f>
        <v>98.61111111111111</v>
      </c>
      <c r="I88" t="inlineStr">
        <is>
          <t xml:space="preserve">Financial</t>
        </is>
      </c>
    </row>
    <row r="89">
      <c r="F89" t="inlineStr">
        <is>
          <t xml:space="preserve">DISC</t>
        </is>
      </c>
      <c r="G89" t="inlineStr">
        <is>
          <t xml:space="preserve">=DISC(45000,45100,98,100)</t>
        </is>
      </c>
      <c r="H89">
        <f>DISC(45000,45100,98,100)</f>
        <v>0.07200000000000001</v>
      </c>
      <c r="I89" t="inlineStr">
        <is>
          <t xml:space="preserve">Financial</t>
        </is>
      </c>
    </row>
    <row r="90">
      <c r="F90" t="inlineStr">
        <is>
          <t xml:space="preserve">WORKDAY.INTL</t>
        </is>
      </c>
      <c r="G90" t="inlineStr">
        <is>
          <t xml:space="preserve">=WORKDAY.INTL(DATE(2026,10,19),5,1)</t>
        </is>
      </c>
      <c r="H90">
        <f>WORKDAY.INTL(DATE(2026,10,19),5,1)</f>
        <v>46321</v>
      </c>
      <c r="I90" t="inlineStr">
        <is>
          <t xml:space="preserve">Date &amp; Time</t>
        </is>
      </c>
    </row>
    <row r="91">
      <c r="F91" t="inlineStr">
        <is>
          <t xml:space="preserve">NETWORKDAYS.INTL</t>
        </is>
      </c>
      <c r="G91" t="inlineStr">
        <is>
          <t xml:space="preserve">=NETWORKDAYS.INTL(DATE(2026,10,19),DATE(2026,10,23),1)</t>
        </is>
      </c>
      <c r="H91">
        <f>NETWORKDAYS.INTL(DATE(2026,10,19),DATE(2026,10,23),1)</f>
        <v>5</v>
      </c>
      <c r="I91" t="inlineStr">
        <is>
          <t xml:space="preserve">Date &amp; Time</t>
        </is>
      </c>
    </row>
  </sheetData>
</worksheet>
</file>