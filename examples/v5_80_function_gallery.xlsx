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80 New Functions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Calibri"/>
      <color theme="1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8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NumberFormat="1" applyAlignment="1"/>
    <xf numFmtId="0" fontId="1" fillId="2" borderId="0" xfId="0" applyFont="1" applyFill="1" applyNumberFormat="1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0" ySplit="1" topLeftCell="A2" state="frozen"/>
    </sheetView>
  </sheetViews>
  <sheetFormatPr defaultRowHeight="15"/>
  <sheetData>
    <row r="1">
      <c r="A1" s="1" t="inlineStr">
        <is>
          <t xml:space="preserve">Function</t>
        </is>
      </c>
      <c r="B1" s="1" t="inlineStr">
        <is>
          <t xml:space="preserve">Formula (original source)</t>
        </is>
      </c>
      <c r="C1" s="1" t="inlineStr">
        <is>
          <t xml:space="preserve">Live value</t>
        </is>
      </c>
      <c r="D1" s="1" t="inlineStr">
        <is>
          <t xml:space="preserve">Excel-style group</t>
        </is>
      </c>
      <c r="AA1">
        <v>1</v>
      </c>
      <c r="AB1">
        <v>3</v>
      </c>
      <c r="AF1">
        <v>-1000</v>
      </c>
      <c r="AG1">
        <f>DATE(2020,1,1)</f>
        <v>43831</v>
      </c>
    </row>
    <row r="2">
      <c r="A2" t="inlineStr">
        <is>
          <t xml:space="preserve">ACOSH</t>
        </is>
      </c>
      <c r="B2" t="inlineStr">
        <is>
          <t xml:space="preserve">=ACOSH(1)</t>
        </is>
      </c>
      <c r="C2">
        <f>ACOSH(1)</f>
        <v>0</v>
      </c>
      <c r="D2" t="inlineStr">
        <is>
          <t xml:space="preserve">Math &amp; Engineering</t>
        </is>
      </c>
      <c r="AA2">
        <v>2</v>
      </c>
      <c r="AB2">
        <v>5</v>
      </c>
      <c r="AF2">
        <v>300</v>
      </c>
      <c r="AG2">
        <f>DATE(2021,1,1)</f>
        <v>44197</v>
      </c>
    </row>
    <row r="3">
      <c r="A3" t="inlineStr">
        <is>
          <t xml:space="preserve">ASINH</t>
        </is>
      </c>
      <c r="B3" t="inlineStr">
        <is>
          <t xml:space="preserve">=ASINH(0)</t>
        </is>
      </c>
      <c r="C3">
        <f>ASINH(0)</f>
        <v>0</v>
      </c>
      <c r="D3" t="inlineStr">
        <is>
          <t xml:space="preserve">Math &amp; Engineering</t>
        </is>
      </c>
      <c r="AA3">
        <v>3</v>
      </c>
      <c r="AB3">
        <v>7</v>
      </c>
      <c r="AF3">
        <v>400</v>
      </c>
      <c r="AG3">
        <f>DATE(2022,1,1)</f>
        <v>44562</v>
      </c>
    </row>
    <row r="4">
      <c r="A4" t="inlineStr">
        <is>
          <t xml:space="preserve">ATANH</t>
        </is>
      </c>
      <c r="B4" t="inlineStr">
        <is>
          <t xml:space="preserve">=ATANH(0)</t>
        </is>
      </c>
      <c r="C4">
        <f>ATANH(0)</f>
        <v>0</v>
      </c>
      <c r="D4" t="inlineStr">
        <is>
          <t xml:space="preserve">Math &amp; Engineering</t>
        </is>
      </c>
      <c r="AA4">
        <v>4</v>
      </c>
      <c r="AB4">
        <v>9</v>
      </c>
      <c r="AF4">
        <v>500</v>
      </c>
      <c r="AG4">
        <f>DATE(2023,1,1)</f>
        <v>44927</v>
      </c>
    </row>
    <row r="5">
      <c r="A5" t="inlineStr">
        <is>
          <t xml:space="preserve">ACOT</t>
        </is>
      </c>
      <c r="B5" t="inlineStr">
        <is>
          <t xml:space="preserve">=ACOT(1)</t>
        </is>
      </c>
      <c r="C5">
        <f>ACOT(1)</f>
        <v>0.7853981633974483</v>
      </c>
      <c r="D5" t="inlineStr">
        <is>
          <t xml:space="preserve">Math &amp; Engineering</t>
        </is>
      </c>
      <c r="AA5">
        <v>5</v>
      </c>
      <c r="AB5">
        <v>11</v>
      </c>
      <c r="AF5">
        <v>200</v>
      </c>
      <c r="AG5">
        <f>DATE(2024,1,1)</f>
        <v>45292</v>
      </c>
    </row>
    <row r="6">
      <c r="A6" t="inlineStr">
        <is>
          <t xml:space="preserve">ACOTH</t>
        </is>
      </c>
      <c r="B6" t="inlineStr">
        <is>
          <t xml:space="preserve">=ACOTH(2)</t>
        </is>
      </c>
      <c r="C6">
        <f>ACOTH(2)</f>
        <v>0.5493061443340548</v>
      </c>
      <c r="D6" t="inlineStr">
        <is>
          <t xml:space="preserve">Math &amp; Engineering</t>
        </is>
      </c>
    </row>
    <row r="7">
      <c r="A7" t="inlineStr">
        <is>
          <t xml:space="preserve">COT</t>
        </is>
      </c>
      <c r="B7" t="inlineStr">
        <is>
          <t xml:space="preserve">=COT(PI()/4)</t>
        </is>
      </c>
      <c r="C7">
        <f>COT(PI()/4)</f>
        <v>1.0000000000000002</v>
      </c>
      <c r="D7" t="inlineStr">
        <is>
          <t xml:space="preserve">Math &amp; Engineering</t>
        </is>
      </c>
    </row>
    <row r="8">
      <c r="A8" t="inlineStr">
        <is>
          <t xml:space="preserve">COTH</t>
        </is>
      </c>
      <c r="B8" t="inlineStr">
        <is>
          <t xml:space="preserve">=COTH(1)</t>
        </is>
      </c>
      <c r="C8">
        <f>COTH(1)</f>
        <v>1.3130352854993315</v>
      </c>
      <c r="D8" t="inlineStr">
        <is>
          <t xml:space="preserve">Math &amp; Engineering</t>
        </is>
      </c>
    </row>
    <row r="9">
      <c r="A9" t="inlineStr">
        <is>
          <t xml:space="preserve">CSC</t>
        </is>
      </c>
      <c r="B9" t="inlineStr">
        <is>
          <t xml:space="preserve">=CSC(PI()/2)</t>
        </is>
      </c>
      <c r="C9">
        <f>CSC(PI()/2)</f>
        <v>1</v>
      </c>
      <c r="D9" t="inlineStr">
        <is>
          <t xml:space="preserve">Math &amp; Engineering</t>
        </is>
      </c>
    </row>
    <row r="10">
      <c r="A10" t="inlineStr">
        <is>
          <t xml:space="preserve">CSCH</t>
        </is>
      </c>
      <c r="B10" t="inlineStr">
        <is>
          <t xml:space="preserve">=CSCH(1)</t>
        </is>
      </c>
      <c r="C10">
        <f>CSCH(1)</f>
        <v>0.8509181282393216</v>
      </c>
      <c r="D10" t="inlineStr">
        <is>
          <t xml:space="preserve">Math &amp; Engineering</t>
        </is>
      </c>
    </row>
    <row r="11">
      <c r="A11" t="inlineStr">
        <is>
          <t xml:space="preserve">SEC</t>
        </is>
      </c>
      <c r="B11" t="inlineStr">
        <is>
          <t xml:space="preserve">=SEC(0)</t>
        </is>
      </c>
      <c r="C11">
        <f>SEC(0)</f>
        <v>1</v>
      </c>
      <c r="D11" t="inlineStr">
        <is>
          <t xml:space="preserve">Math &amp; Engineering</t>
        </is>
      </c>
    </row>
    <row r="12">
      <c r="A12" t="inlineStr">
        <is>
          <t xml:space="preserve">SECH</t>
        </is>
      </c>
      <c r="B12" t="inlineStr">
        <is>
          <t xml:space="preserve">=SECH(0)</t>
        </is>
      </c>
      <c r="C12">
        <f>SECH(0)</f>
        <v>1</v>
      </c>
      <c r="D12" t="inlineStr">
        <is>
          <t xml:space="preserve">Math &amp; Engineering</t>
        </is>
      </c>
    </row>
    <row r="13">
      <c r="A13" t="inlineStr">
        <is>
          <t xml:space="preserve">MROUND</t>
        </is>
      </c>
      <c r="B13" t="inlineStr">
        <is>
          <t xml:space="preserve">=MROUND(14,5)</t>
        </is>
      </c>
      <c r="C13">
        <f>MROUND(14,5)</f>
        <v>15</v>
      </c>
      <c r="D13" t="inlineStr">
        <is>
          <t xml:space="preserve">Math &amp; Engineering</t>
        </is>
      </c>
    </row>
    <row r="14">
      <c r="A14" t="inlineStr">
        <is>
          <t xml:space="preserve">FACTDOUBLE</t>
        </is>
      </c>
      <c r="B14" t="inlineStr">
        <is>
          <t xml:space="preserve">=FACTDOUBLE(7)</t>
        </is>
      </c>
      <c r="C14">
        <f>FACTDOUBLE(7)</f>
        <v>105</v>
      </c>
      <c r="D14" t="inlineStr">
        <is>
          <t xml:space="preserve">Math &amp; Engineering</t>
        </is>
      </c>
    </row>
    <row r="15">
      <c r="A15" t="inlineStr">
        <is>
          <t xml:space="preserve">MULTINOMIAL</t>
        </is>
      </c>
      <c r="B15" t="inlineStr">
        <is>
          <t xml:space="preserve">=MULTINOMIAL(2,1)</t>
        </is>
      </c>
      <c r="C15">
        <f>MULTINOMIAL(2,1)</f>
        <v>3</v>
      </c>
      <c r="D15" t="inlineStr">
        <is>
          <t xml:space="preserve">Math &amp; Engineering</t>
        </is>
      </c>
    </row>
    <row r="16">
      <c r="A16" t="inlineStr">
        <is>
          <t xml:space="preserve">ARABIC</t>
        </is>
      </c>
      <c r="B16" t="inlineStr">
        <is>
          <t xml:space="preserve">=ARABIC("XIV")</t>
        </is>
      </c>
      <c r="C16">
        <f>ARABIC("XIV")</f>
        <v>14</v>
      </c>
      <c r="D16" t="inlineStr">
        <is>
          <t xml:space="preserve">Math &amp; Engineering</t>
        </is>
      </c>
    </row>
    <row r="17">
      <c r="A17" t="inlineStr">
        <is>
          <t xml:space="preserve">ROMAN</t>
        </is>
      </c>
      <c r="B17" t="inlineStr">
        <is>
          <t xml:space="preserve">=ROMAN(14)</t>
        </is>
      </c>
      <c r="C17">
        <f>ROMAN(14)</f>
      </c>
      <c r="D17" t="inlineStr">
        <is>
          <t xml:space="preserve">Math &amp; Engineering</t>
        </is>
      </c>
    </row>
    <row r="18">
      <c r="A18" t="inlineStr">
        <is>
          <t xml:space="preserve">BASE</t>
        </is>
      </c>
      <c r="B18" t="inlineStr">
        <is>
          <t xml:space="preserve">=BASE(255,16)</t>
        </is>
      </c>
      <c r="C18">
        <f>BASE(255,16)</f>
      </c>
      <c r="D18" t="inlineStr">
        <is>
          <t xml:space="preserve">Math &amp; Engineering</t>
        </is>
      </c>
    </row>
    <row r="19">
      <c r="A19" t="inlineStr">
        <is>
          <t xml:space="preserve">DECIMAL</t>
        </is>
      </c>
      <c r="B19" t="inlineStr">
        <is>
          <t xml:space="preserve">=DECIMAL("FF",16)</t>
        </is>
      </c>
      <c r="C19">
        <f>DECIMAL("FF",16)</f>
        <v>255</v>
      </c>
      <c r="D19" t="inlineStr">
        <is>
          <t xml:space="preserve">Math &amp; Engineering</t>
        </is>
      </c>
    </row>
    <row r="20">
      <c r="A20" t="inlineStr">
        <is>
          <t xml:space="preserve">SKEW</t>
        </is>
      </c>
      <c r="B20" t="inlineStr">
        <is>
          <t xml:space="preserve">=SKEW(A1:A5)</t>
        </is>
      </c>
      <c r="C20">
        <f>SKEW(AA1:AA5)</f>
        <v>0</v>
      </c>
      <c r="D20" t="inlineStr">
        <is>
          <t xml:space="preserve">Statistical</t>
        </is>
      </c>
    </row>
    <row r="21">
      <c r="A21" t="inlineStr">
        <is>
          <t xml:space="preserve">KURT</t>
        </is>
      </c>
      <c r="B21" t="inlineStr">
        <is>
          <t xml:space="preserve">=KURT(A1:A5)</t>
        </is>
      </c>
      <c r="C21">
        <f>KURT(AA1:AA5)</f>
        <v>-1.2000000000000002</v>
      </c>
      <c r="D21" t="inlineStr">
        <is>
          <t xml:space="preserve">Statistical</t>
        </is>
      </c>
    </row>
    <row r="22">
      <c r="A22" t="inlineStr">
        <is>
          <t xml:space="preserve">COVARIANCEP</t>
        </is>
      </c>
      <c r="B22" t="inlineStr">
        <is>
          <t xml:space="preserve">=COVARIANCEP(A1:A5,B1:B5)</t>
        </is>
      </c>
      <c r="C22">
        <f>COVARIANCE.P(AA1:AA5,AB1:AB5)</f>
        <v>4</v>
      </c>
      <c r="D22" t="inlineStr">
        <is>
          <t xml:space="preserve">Statistical</t>
        </is>
      </c>
    </row>
    <row r="23">
      <c r="A23" t="inlineStr">
        <is>
          <t xml:space="preserve">COVARIANCES</t>
        </is>
      </c>
      <c r="B23" t="inlineStr">
        <is>
          <t xml:space="preserve">=COVARIANCES(A1:A5,B1:B5)</t>
        </is>
      </c>
      <c r="C23">
        <f>COVARIANCE.S(AA1:AA5,AB1:AB5)</f>
        <v>5</v>
      </c>
      <c r="D23" t="inlineStr">
        <is>
          <t xml:space="preserve">Statistical</t>
        </is>
      </c>
    </row>
    <row r="24">
      <c r="A24" t="inlineStr">
        <is>
          <t xml:space="preserve">PEARSON</t>
        </is>
      </c>
      <c r="B24" t="inlineStr">
        <is>
          <t xml:space="preserve">=PEARSON(A1:A5,B1:B5)</t>
        </is>
      </c>
      <c r="C24">
        <f>PEARSON(AA1:AA5,AB1:AB5)</f>
        <v>1</v>
      </c>
      <c r="D24" t="inlineStr">
        <is>
          <t xml:space="preserve">Statistical</t>
        </is>
      </c>
    </row>
    <row r="25">
      <c r="A25" t="inlineStr">
        <is>
          <t xml:space="preserve">STEYX</t>
        </is>
      </c>
      <c r="B25" t="inlineStr">
        <is>
          <t xml:space="preserve">=STEYX(B1:B5,A1:A5)</t>
        </is>
      </c>
      <c r="C25">
        <f>STEYX(AB1:AB5,AA1:AA5)</f>
        <v>0</v>
      </c>
      <c r="D25" t="inlineStr">
        <is>
          <t xml:space="preserve">Statistical</t>
        </is>
      </c>
    </row>
    <row r="26">
      <c r="A26" t="inlineStr">
        <is>
          <t xml:space="preserve">STANDARDIZE</t>
        </is>
      </c>
      <c r="B26" t="inlineStr">
        <is>
          <t xml:space="preserve">=STANDARDIZE(10,8,2)</t>
        </is>
      </c>
      <c r="C26">
        <f>STANDARDIZE(10,8,2)</f>
        <v>1</v>
      </c>
      <c r="D26" t="inlineStr">
        <is>
          <t xml:space="preserve">Statistical</t>
        </is>
      </c>
    </row>
    <row r="27">
      <c r="A27" t="inlineStr">
        <is>
          <t xml:space="preserve">TRIMMEAN</t>
        </is>
      </c>
      <c r="B27" t="inlineStr">
        <is>
          <t xml:space="preserve">=TRIMMEAN(A1:A5,0.4)</t>
        </is>
      </c>
      <c r="C27">
        <f>TRIMMEAN(AA1:AA5,0.4)</f>
        <v>3</v>
      </c>
      <c r="D27" t="inlineStr">
        <is>
          <t xml:space="preserve">Statistical</t>
        </is>
      </c>
    </row>
    <row r="28">
      <c r="A28" t="inlineStr">
        <is>
          <t xml:space="preserve">NORMDIST</t>
        </is>
      </c>
      <c r="B28" t="inlineStr">
        <is>
          <t xml:space="preserve">=NORMDIST(0,0,1,TRUE)</t>
        </is>
      </c>
      <c r="C28">
        <f>NORM.DIST(0,0,1,TRUE)</f>
        <v>0.5</v>
      </c>
      <c r="D28" t="inlineStr">
        <is>
          <t xml:space="preserve">Statistical</t>
        </is>
      </c>
    </row>
    <row r="29">
      <c r="A29" t="inlineStr">
        <is>
          <t xml:space="preserve">NORMSDIST</t>
        </is>
      </c>
      <c r="B29" t="inlineStr">
        <is>
          <t xml:space="preserve">=NORMSDIST(0)</t>
        </is>
      </c>
      <c r="C29">
        <f>NORM.S.DIST(0)</f>
        <v>0.5</v>
      </c>
      <c r="D29" t="inlineStr">
        <is>
          <t xml:space="preserve">Statistical</t>
        </is>
      </c>
    </row>
    <row r="30">
      <c r="A30" t="inlineStr">
        <is>
          <t xml:space="preserve">NORMINV</t>
        </is>
      </c>
      <c r="B30" t="inlineStr">
        <is>
          <t xml:space="preserve">=NORMINV(.5,0,1)</t>
        </is>
      </c>
      <c r="C30">
        <f>NORM.INV(.5,0,1)</f>
        <v>-3.101927297073854e-25</v>
      </c>
      <c r="D30" t="inlineStr">
        <is>
          <t xml:space="preserve">Statistical</t>
        </is>
      </c>
    </row>
    <row r="31">
      <c r="A31" t="inlineStr">
        <is>
          <t xml:space="preserve">NORMSINV</t>
        </is>
      </c>
      <c r="B31" t="inlineStr">
        <is>
          <t xml:space="preserve">=NORMSINV(.5)</t>
        </is>
      </c>
      <c r="C31">
        <f>NORM.S.INV(.5)</f>
        <v>-3.101927297073854e-25</v>
      </c>
      <c r="D31" t="inlineStr">
        <is>
          <t xml:space="preserve">Statistical</t>
        </is>
      </c>
    </row>
    <row r="32">
      <c r="A32" t="inlineStr">
        <is>
          <t xml:space="preserve">T</t>
        </is>
      </c>
      <c r="B32" t="inlineStr">
        <is>
          <t xml:space="preserve">=T("Hello")</t>
        </is>
      </c>
      <c r="C32">
        <f>T("Hello")</f>
      </c>
      <c r="D32" t="inlineStr">
        <is>
          <t xml:space="preserve">Text</t>
        </is>
      </c>
    </row>
    <row r="33">
      <c r="A33" t="inlineStr">
        <is>
          <t xml:space="preserve">N</t>
        </is>
      </c>
      <c r="B33" t="inlineStr">
        <is>
          <t xml:space="preserve">=N(TRUE)</t>
        </is>
      </c>
      <c r="C33">
        <f>N(TRUE)</f>
        <v>1</v>
      </c>
      <c r="D33" t="inlineStr">
        <is>
          <t xml:space="preserve">Text</t>
        </is>
      </c>
    </row>
    <row r="34">
      <c r="A34" t="inlineStr">
        <is>
          <t xml:space="preserve">DOLLAR</t>
        </is>
      </c>
      <c r="B34" t="inlineStr">
        <is>
          <t xml:space="preserve">=DOLLAR(1234.5,2)</t>
        </is>
      </c>
      <c r="C34">
        <f>DOLLAR(1234.5,2)</f>
      </c>
      <c r="D34" t="inlineStr">
        <is>
          <t xml:space="preserve">Text</t>
        </is>
      </c>
    </row>
    <row r="35">
      <c r="A35" t="inlineStr">
        <is>
          <t xml:space="preserve">FIXED</t>
        </is>
      </c>
      <c r="B35" t="inlineStr">
        <is>
          <t xml:space="preserve">=FIXED(1234.5,1,TRUE)</t>
        </is>
      </c>
      <c r="C35">
        <f>FIXED(1234.5,1,TRUE)</f>
      </c>
      <c r="D35" t="inlineStr">
        <is>
          <t xml:space="preserve">Text</t>
        </is>
      </c>
    </row>
    <row r="36">
      <c r="A36" t="inlineStr">
        <is>
          <t xml:space="preserve">TEXT</t>
        </is>
      </c>
      <c r="B36" t="inlineStr">
        <is>
          <t xml:space="preserve">=TEXT(0.125,"0.0%")</t>
        </is>
      </c>
      <c r="C36">
        <f>TEXT(0.125,"0.0%")</f>
      </c>
      <c r="D36" t="inlineStr">
        <is>
          <t xml:space="preserve">Text</t>
        </is>
      </c>
    </row>
    <row r="37">
      <c r="A37" t="inlineStr">
        <is>
          <t xml:space="preserve">LENB</t>
        </is>
      </c>
      <c r="B37" t="inlineStr">
        <is>
          <t xml:space="preserve">=LENB("abc")</t>
        </is>
      </c>
      <c r="C37">
        <f>LENB("abc")</f>
        <v>3</v>
      </c>
      <c r="D37" t="inlineStr">
        <is>
          <t xml:space="preserve">Text</t>
        </is>
      </c>
    </row>
    <row r="38">
      <c r="A38" t="inlineStr">
        <is>
          <t xml:space="preserve">LEFTB</t>
        </is>
      </c>
      <c r="B38" t="inlineStr">
        <is>
          <t xml:space="preserve">=LEFTB("abc",2)</t>
        </is>
      </c>
      <c r="C38">
        <f>LEFTB("abc",2)</f>
      </c>
      <c r="D38" t="inlineStr">
        <is>
          <t xml:space="preserve">Text</t>
        </is>
      </c>
    </row>
    <row r="39">
      <c r="A39" t="inlineStr">
        <is>
          <t xml:space="preserve">RIGHTB</t>
        </is>
      </c>
      <c r="B39" t="inlineStr">
        <is>
          <t xml:space="preserve">=RIGHTB("abc",2)</t>
        </is>
      </c>
      <c r="C39">
        <f>RIGHTB("abc",2)</f>
      </c>
      <c r="D39" t="inlineStr">
        <is>
          <t xml:space="preserve">Text</t>
        </is>
      </c>
    </row>
    <row r="40">
      <c r="A40" t="inlineStr">
        <is>
          <t xml:space="preserve">MIDB</t>
        </is>
      </c>
      <c r="B40" t="inlineStr">
        <is>
          <t xml:space="preserve">=MIDB("abc",2,2)</t>
        </is>
      </c>
      <c r="C40">
        <f>MIDB("abc",2,2)</f>
      </c>
      <c r="D40" t="inlineStr">
        <is>
          <t xml:space="preserve">Text</t>
        </is>
      </c>
    </row>
    <row r="41">
      <c r="A41" t="inlineStr">
        <is>
          <t xml:space="preserve">FINDB</t>
        </is>
      </c>
      <c r="B41" t="inlineStr">
        <is>
          <t xml:space="preserve">=FINDB("b","abc")</t>
        </is>
      </c>
      <c r="C41">
        <f>FINDB("b","abc")</f>
        <v>2</v>
      </c>
      <c r="D41" t="inlineStr">
        <is>
          <t xml:space="preserve">Text</t>
        </is>
      </c>
    </row>
    <row r="42">
      <c r="A42" t="inlineStr">
        <is>
          <t xml:space="preserve">SEARCHB</t>
        </is>
      </c>
      <c r="B42" t="inlineStr">
        <is>
          <t xml:space="preserve">=SEARCHB("B","abc")</t>
        </is>
      </c>
      <c r="C42">
        <f>SEARCHB("B","abc")</f>
        <v>2</v>
      </c>
      <c r="D42" t="inlineStr">
        <is>
          <t xml:space="preserve">Text</t>
        </is>
      </c>
    </row>
    <row r="43">
      <c r="A43" t="inlineStr">
        <is>
          <t xml:space="preserve">REPLACEB</t>
        </is>
      </c>
      <c r="B43" t="inlineStr">
        <is>
          <t xml:space="preserve">=REPLACEB("abc",2,1,"Z")</t>
        </is>
      </c>
      <c r="C43">
        <f>REPLACEB("abc",2,1,"Z")</f>
      </c>
      <c r="D43" t="inlineStr">
        <is>
          <t xml:space="preserve">Text</t>
        </is>
      </c>
    </row>
    <row r="44">
      <c r="A44" t="inlineStr">
        <is>
          <t xml:space="preserve">REGEXTEST</t>
        </is>
      </c>
      <c r="B44" t="inlineStr">
        <is>
          <t xml:space="preserve">=REGEXTEST("ab12","[0-9]+")</t>
        </is>
      </c>
      <c r="C44">
        <f>_xlfn.REGEXTEST("ab12","[0-9]+")</f>
      </c>
      <c r="D44" t="inlineStr">
        <is>
          <t xml:space="preserve">Text</t>
        </is>
      </c>
    </row>
    <row r="45">
      <c r="A45" t="inlineStr">
        <is>
          <t xml:space="preserve">REGEXREPLACE</t>
        </is>
      </c>
      <c r="B45" t="inlineStr">
        <is>
          <t xml:space="preserve">=REGEXREPLACE("ab12","[0-9]+","ZZ")</t>
        </is>
      </c>
      <c r="C45">
        <f>_xlfn.REGEXREPLACE("ab12","[0-9]+","ZZ")</f>
      </c>
      <c r="D45" t="inlineStr">
        <is>
          <t xml:space="preserve">Text</t>
        </is>
      </c>
    </row>
    <row r="46">
      <c r="A46" t="inlineStr">
        <is>
          <t xml:space="preserve">DATEDIF</t>
        </is>
      </c>
      <c r="B46" t="inlineStr">
        <is>
          <t xml:space="preserve">=DATEDIF(DATE(2020,1,1),DATE(2022,4,1),"Y")</t>
        </is>
      </c>
      <c r="C46">
        <f>DATEDIF(DATE(2020,1,1),DATE(2022,4,1),"Y")</f>
        <v>2</v>
      </c>
      <c r="D46" t="inlineStr">
        <is>
          <t xml:space="preserve">Date &amp; Time</t>
        </is>
      </c>
    </row>
    <row r="47">
      <c r="A47" t="inlineStr">
        <is>
          <t xml:space="preserve">YEARFRAC</t>
        </is>
      </c>
      <c r="B47" t="inlineStr">
        <is>
          <t xml:space="preserve">=YEARFRAC(DATE(2020,1,1),DATE(2021,1,1),3)</t>
        </is>
      </c>
      <c r="C47">
        <f>YEARFRAC(DATE(2020,1,1),DATE(2021,1,1),3)</f>
        <v>1.0027397260273974</v>
      </c>
      <c r="D47" t="inlineStr">
        <is>
          <t xml:space="preserve">Date &amp; Time</t>
        </is>
      </c>
    </row>
    <row r="48">
      <c r="A48" t="inlineStr">
        <is>
          <t xml:space="preserve">DAYS360</t>
        </is>
      </c>
      <c r="B48" t="inlineStr">
        <is>
          <t xml:space="preserve">=DAYS360(DATE(2026,1,1),DATE(2026,4,1))</t>
        </is>
      </c>
      <c r="C48">
        <f>DAYS360(DATE(2026,1,1),DATE(2026,4,1))</f>
        <v>90</v>
      </c>
      <c r="D48" t="inlineStr">
        <is>
          <t xml:space="preserve">Date &amp; Time</t>
        </is>
      </c>
    </row>
    <row r="49">
      <c r="A49" t="inlineStr">
        <is>
          <t xml:space="preserve">WEEKNUM</t>
        </is>
      </c>
      <c r="B49" t="inlineStr">
        <is>
          <t xml:space="preserve">=WEEKNUM(DATE(2026,1,1),1)</t>
        </is>
      </c>
      <c r="C49">
        <f>WEEKNUM(DATE(2026,1,1),1)</f>
        <v>1</v>
      </c>
      <c r="D49" t="inlineStr">
        <is>
          <t xml:space="preserve">Date &amp; Time</t>
        </is>
      </c>
    </row>
    <row r="50">
      <c r="A50" t="inlineStr">
        <is>
          <t xml:space="preserve">ISOWEEKNUM</t>
        </is>
      </c>
      <c r="B50" t="inlineStr">
        <is>
          <t xml:space="preserve">=ISOWEEKNUM(DATE(2021,1,4))</t>
        </is>
      </c>
      <c r="C50">
        <f>_xlfn.ISOWEEKNUM(DATE(2021,1,4))</f>
        <v>1</v>
      </c>
      <c r="D50" t="inlineStr">
        <is>
          <t xml:space="preserve">Date &amp; Time</t>
        </is>
      </c>
    </row>
    <row r="51">
      <c r="A51" t="inlineStr">
        <is>
          <t xml:space="preserve">DATEVALUE</t>
        </is>
      </c>
      <c r="B51" t="inlineStr">
        <is>
          <t xml:space="preserve">=DATEVALUE("2026-10-20")</t>
        </is>
      </c>
      <c r="C51">
        <f>DATEVALUE("2026-10-20")</f>
        <v>46315</v>
      </c>
      <c r="D51" t="inlineStr">
        <is>
          <t xml:space="preserve">Date &amp; Time</t>
        </is>
      </c>
    </row>
    <row r="52">
      <c r="A52" t="inlineStr">
        <is>
          <t xml:space="preserve">TIMEVALUE</t>
        </is>
      </c>
      <c r="B52" t="inlineStr">
        <is>
          <t xml:space="preserve">=TIMEVALUE("12:30:00")</t>
        </is>
      </c>
      <c r="C52">
        <f>TIMEVALUE("12:30:00")</f>
        <v>0.5208333333333334</v>
      </c>
      <c r="D52" t="inlineStr">
        <is>
          <t xml:space="preserve">Date &amp; Time</t>
        </is>
      </c>
    </row>
    <row r="53">
      <c r="A53" t="inlineStr">
        <is>
          <t xml:space="preserve">NETWORKDAYSINTL</t>
        </is>
      </c>
      <c r="B53" t="inlineStr">
        <is>
          <t xml:space="preserve">=NETWORKDAYSINTL(DATE(2026,10,19),DATE(2026,10,23),1)</t>
        </is>
      </c>
      <c r="C53">
        <f>NETWORKDAYS.INTL(DATE(2026,10,19),DATE(2026,10,23),1)</f>
        <v>5</v>
      </c>
      <c r="D53" t="inlineStr">
        <is>
          <t xml:space="preserve">Date &amp; Time</t>
        </is>
      </c>
    </row>
    <row r="54">
      <c r="A54" t="inlineStr">
        <is>
          <t xml:space="preserve">RATE</t>
        </is>
      </c>
      <c r="B54" t="inlineStr">
        <is>
          <t xml:space="preserve">=RATE(10,-100,1000)</t>
        </is>
      </c>
      <c r="C54">
        <f>RATE(10,-100,1000)</f>
        <v>0</v>
      </c>
      <c r="D54" t="inlineStr">
        <is>
          <t xml:space="preserve">Financial</t>
        </is>
      </c>
    </row>
    <row r="55">
      <c r="A55" t="inlineStr">
        <is>
          <t xml:space="preserve">NPER</t>
        </is>
      </c>
      <c r="B55" t="inlineStr">
        <is>
          <t xml:space="preserve">=NPER(0,-100,1000)</t>
        </is>
      </c>
      <c r="C55">
        <f>NPER(0,-100,1000)</f>
        <v>10</v>
      </c>
      <c r="D55" t="inlineStr">
        <is>
          <t xml:space="preserve">Financial</t>
        </is>
      </c>
    </row>
    <row r="56">
      <c r="A56" t="inlineStr">
        <is>
          <t xml:space="preserve">IPMT</t>
        </is>
      </c>
      <c r="B56" t="inlineStr">
        <is>
          <t xml:space="preserve">=IPMT(0.1,1,2,100)</t>
        </is>
      </c>
      <c r="C56">
        <f>IPMT(0.1,1,2,100)</f>
        <v>-10</v>
      </c>
      <c r="D56" t="inlineStr">
        <is>
          <t xml:space="preserve">Financial</t>
        </is>
      </c>
    </row>
    <row r="57">
      <c r="A57" t="inlineStr">
        <is>
          <t xml:space="preserve">PPMT</t>
        </is>
      </c>
      <c r="B57" t="inlineStr">
        <is>
          <t xml:space="preserve">=PPMT(0.1,1,2,100)</t>
        </is>
      </c>
      <c r="C57">
        <f>PPMT(0.1,1,2,100)</f>
        <v>-47.61904761904758</v>
      </c>
      <c r="D57" t="inlineStr">
        <is>
          <t xml:space="preserve">Financial</t>
        </is>
      </c>
    </row>
    <row r="58">
      <c r="A58" t="inlineStr">
        <is>
          <t xml:space="preserve">EFFECT</t>
        </is>
      </c>
      <c r="B58" t="inlineStr">
        <is>
          <t xml:space="preserve">=EFFECT(0.12,12)</t>
        </is>
      </c>
      <c r="C58">
        <f>EFFECT(0.12,12)</f>
        <v>0.12682503013196977</v>
      </c>
      <c r="D58" t="inlineStr">
        <is>
          <t xml:space="preserve">Financial</t>
        </is>
      </c>
    </row>
    <row r="59">
      <c r="A59" t="inlineStr">
        <is>
          <t xml:space="preserve">NOMINAL</t>
        </is>
      </c>
      <c r="B59" t="inlineStr">
        <is>
          <t xml:space="preserve">=NOMINAL(EFFECT(0.12,12),12)</t>
        </is>
      </c>
      <c r="C59">
        <f>NOMINAL(EFFECT(0.12,12),12)</f>
        <v>0.1200000000000001</v>
      </c>
      <c r="D59" t="inlineStr">
        <is>
          <t xml:space="preserve">Financial</t>
        </is>
      </c>
    </row>
    <row r="60">
      <c r="A60" t="inlineStr">
        <is>
          <t xml:space="preserve">SLN</t>
        </is>
      </c>
      <c r="B60" t="inlineStr">
        <is>
          <t xml:space="preserve">=SLN(1000,0,5)</t>
        </is>
      </c>
      <c r="C60">
        <f>SLN(1000,0,5)</f>
        <v>200</v>
      </c>
      <c r="D60" t="inlineStr">
        <is>
          <t xml:space="preserve">Financial</t>
        </is>
      </c>
    </row>
    <row r="61">
      <c r="A61" t="inlineStr">
        <is>
          <t xml:space="preserve">SYD</t>
        </is>
      </c>
      <c r="B61" t="inlineStr">
        <is>
          <t xml:space="preserve">=SYD(1000,0,5,1)</t>
        </is>
      </c>
      <c r="C61">
        <f>SYD(1000,0,5,1)</f>
        <v>333.3333333333333</v>
      </c>
      <c r="D61" t="inlineStr">
        <is>
          <t xml:space="preserve">Financial</t>
        </is>
      </c>
    </row>
    <row r="62">
      <c r="A62" t="inlineStr">
        <is>
          <t xml:space="preserve">DDB</t>
        </is>
      </c>
      <c r="B62" t="inlineStr">
        <is>
          <t xml:space="preserve">=DDB(1000,0,5,1)</t>
        </is>
      </c>
      <c r="C62">
        <f>DDB(1000,0,5,1)</f>
        <v>400</v>
      </c>
      <c r="D62" t="inlineStr">
        <is>
          <t xml:space="preserve">Financial</t>
        </is>
      </c>
    </row>
    <row r="63">
      <c r="A63" t="inlineStr">
        <is>
          <t xml:space="preserve">MIRR</t>
        </is>
      </c>
      <c r="B63" t="inlineStr">
        <is>
          <t xml:space="preserve">=MIRR(F1:F5,0.1,0.1)</t>
        </is>
      </c>
      <c r="C63">
        <f>MIRR(AF1:AF5,0.1,0.1)</f>
        <v>0.13048938949712285</v>
      </c>
      <c r="D63" t="inlineStr">
        <is>
          <t xml:space="preserve">Financial</t>
        </is>
      </c>
    </row>
    <row r="64">
      <c r="A64" t="inlineStr">
        <is>
          <t xml:space="preserve">IRR</t>
        </is>
      </c>
      <c r="B64" t="inlineStr">
        <is>
          <t xml:space="preserve">=IRR(F1:F5)</t>
        </is>
      </c>
      <c r="C64">
        <f>IRR(AF1:AF5)</f>
        <v>0.15322137877181555</v>
      </c>
      <c r="D64" t="inlineStr">
        <is>
          <t xml:space="preserve">Financial</t>
        </is>
      </c>
    </row>
    <row r="65">
      <c r="A65" t="inlineStr">
        <is>
          <t xml:space="preserve">XNPV</t>
        </is>
      </c>
      <c r="B65" t="inlineStr">
        <is>
          <t xml:space="preserve">=XNPV(0,F1:F5,G1:G5)</t>
        </is>
      </c>
      <c r="C65">
        <f>XNPV(0,AF1:AF5,AG1:AG5)</f>
        <v>400</v>
      </c>
      <c r="D65" t="inlineStr">
        <is>
          <t xml:space="preserve">Financial</t>
        </is>
      </c>
    </row>
    <row r="66">
      <c r="A66" t="inlineStr">
        <is>
          <t xml:space="preserve">XIRR</t>
        </is>
      </c>
      <c r="B66" t="inlineStr">
        <is>
          <t xml:space="preserve">=XIRR(F1:F5,G1:G5)</t>
        </is>
      </c>
      <c r="C66">
        <f>XIRR(AF1:AF5,AG1:AG5)</f>
        <v>0.15302512211857267</v>
      </c>
      <c r="D66" t="inlineStr">
        <is>
          <t xml:space="preserve">Financial</t>
        </is>
      </c>
    </row>
    <row r="67">
      <c r="A67" t="inlineStr">
        <is>
          <t xml:space="preserve">FVSCHEDULE</t>
        </is>
      </c>
      <c r="B67" t="inlineStr">
        <is>
          <t xml:space="preserve">=FVSCHEDULE(100,A1:A2)</t>
        </is>
      </c>
      <c r="C67">
        <f>FVSCHEDULE(100,AA1:AA2)</f>
        <v>600</v>
      </c>
      <c r="D67" t="inlineStr">
        <is>
          <t xml:space="preserve">Financial</t>
        </is>
      </c>
    </row>
    <row r="68">
      <c r="A68" t="inlineStr">
        <is>
          <t xml:space="preserve">RRI</t>
        </is>
      </c>
      <c r="B68" t="inlineStr">
        <is>
          <t xml:space="preserve">=RRI(2,100,121)</t>
        </is>
      </c>
      <c r="C68">
        <f>RRI(2,100,121)</f>
        <v>0.10000000000000009</v>
      </c>
      <c r="D68" t="inlineStr">
        <is>
          <t xml:space="preserve">Financial</t>
        </is>
      </c>
    </row>
    <row r="69">
      <c r="A69" t="inlineStr">
        <is>
          <t xml:space="preserve">ISERR</t>
        </is>
      </c>
      <c r="B69" t="inlineStr">
        <is>
          <t xml:space="preserve">=ISERR(1/0)</t>
        </is>
      </c>
      <c r="C69">
        <f>ISERR(1/0)</f>
      </c>
      <c r="D69" t="inlineStr">
        <is>
          <t xml:space="preserve">Information</t>
        </is>
      </c>
    </row>
    <row r="70">
      <c r="A70" t="inlineStr">
        <is>
          <t xml:space="preserve">ISERROR</t>
        </is>
      </c>
      <c r="B70" t="inlineStr">
        <is>
          <t xml:space="preserve">=ISERROR(1/0)</t>
        </is>
      </c>
      <c r="C70">
        <f>ISERROR(1/0)</f>
      </c>
      <c r="D70" t="inlineStr">
        <is>
          <t xml:space="preserve">Information</t>
        </is>
      </c>
    </row>
    <row r="71">
      <c r="A71" t="inlineStr">
        <is>
          <t xml:space="preserve">ISNA</t>
        </is>
      </c>
      <c r="B71" t="inlineStr">
        <is>
          <t xml:space="preserve">=ISNA(MATCH(99,A1:A5,0))</t>
        </is>
      </c>
      <c r="C71">
        <f>ISNA(MATCH(99,AA1:AA5,0))</f>
      </c>
      <c r="D71" t="inlineStr">
        <is>
          <t xml:space="preserve">Information</t>
        </is>
      </c>
    </row>
    <row r="72">
      <c r="A72" t="inlineStr">
        <is>
          <t xml:space="preserve">ISEVEN</t>
        </is>
      </c>
      <c r="B72" t="inlineStr">
        <is>
          <t xml:space="preserve">=ISEVEN(4)</t>
        </is>
      </c>
      <c r="C72">
        <f>ISEVEN(4)</f>
      </c>
      <c r="D72" t="inlineStr">
        <is>
          <t xml:space="preserve">Information</t>
        </is>
      </c>
    </row>
    <row r="73">
      <c r="A73" t="inlineStr">
        <is>
          <t xml:space="preserve">ISODD</t>
        </is>
      </c>
      <c r="B73" t="inlineStr">
        <is>
          <t xml:space="preserve">=ISODD(3)</t>
        </is>
      </c>
      <c r="C73">
        <f>ISODD(3)</f>
      </c>
      <c r="D73" t="inlineStr">
        <is>
          <t xml:space="preserve">Information</t>
        </is>
      </c>
    </row>
    <row r="74">
      <c r="A74" t="inlineStr">
        <is>
          <t xml:space="preserve">ISLOGICAL</t>
        </is>
      </c>
      <c r="B74" t="inlineStr">
        <is>
          <t xml:space="preserve">=ISLOGICAL(TRUE)</t>
        </is>
      </c>
      <c r="C74">
        <f>ISLOGICAL(TRUE)</f>
      </c>
      <c r="D74" t="inlineStr">
        <is>
          <t xml:space="preserve">Information</t>
        </is>
      </c>
    </row>
    <row r="75">
      <c r="A75" t="inlineStr">
        <is>
          <t xml:space="preserve">ISNONTEXT</t>
        </is>
      </c>
      <c r="B75" t="inlineStr">
        <is>
          <t xml:space="preserve">=ISNONTEXT(123)</t>
        </is>
      </c>
      <c r="C75">
        <f>ISNONTEXT(123)</f>
      </c>
      <c r="D75" t="inlineStr">
        <is>
          <t xml:space="preserve">Information</t>
        </is>
      </c>
    </row>
    <row r="76">
      <c r="A76" t="inlineStr">
        <is>
          <t xml:space="preserve">TYPE</t>
        </is>
      </c>
      <c r="B76" t="inlineStr">
        <is>
          <t xml:space="preserve">=TYPE("hello")</t>
        </is>
      </c>
      <c r="C76">
        <f>TYPE("hello")</f>
        <v>2</v>
      </c>
      <c r="D76" t="inlineStr">
        <is>
          <t xml:space="preserve">Information</t>
        </is>
      </c>
    </row>
    <row r="77">
      <c r="A77" t="inlineStr">
        <is>
          <t xml:space="preserve">LOOKUP</t>
        </is>
      </c>
      <c r="B77" t="inlineStr">
        <is>
          <t xml:space="preserve">=LOOKUP(3,A1:A5,B1:B5)</t>
        </is>
      </c>
      <c r="C77">
        <f>LOOKUP(3,AA1:AA5,AB1:AB5)</f>
        <v>7</v>
      </c>
      <c r="D77" t="inlineStr">
        <is>
          <t xml:space="preserve">Lookup &amp; Reference</t>
        </is>
      </c>
    </row>
    <row r="78">
      <c r="A78" t="inlineStr">
        <is>
          <t xml:space="preserve">CHOOSE</t>
        </is>
      </c>
      <c r="B78" t="inlineStr">
        <is>
          <t xml:space="preserve">=CHOOSE(2,1/0,42)</t>
        </is>
      </c>
      <c r="C78">
        <f>CHOOSE(2,1/0,42)</f>
        <v>42</v>
      </c>
      <c r="D78" t="inlineStr">
        <is>
          <t xml:space="preserve">Logical</t>
        </is>
      </c>
    </row>
    <row r="79">
      <c r="A79" t="inlineStr">
        <is>
          <t xml:space="preserve">ROWS</t>
        </is>
      </c>
      <c r="B79" t="inlineStr">
        <is>
          <t xml:space="preserve">=ROWS(A1:C5)</t>
        </is>
      </c>
      <c r="C79">
        <f>ROWS(AA1:AC5)</f>
        <v>5</v>
      </c>
      <c r="D79" t="inlineStr">
        <is>
          <t xml:space="preserve">Lookup &amp; Reference</t>
        </is>
      </c>
    </row>
    <row r="80">
      <c r="A80" t="inlineStr">
        <is>
          <t xml:space="preserve">COLUMNS</t>
        </is>
      </c>
      <c r="B80" t="inlineStr">
        <is>
          <t xml:space="preserve">=COLUMNS(A1:C5)</t>
        </is>
      </c>
      <c r="C80">
        <f>COLUMNS(AA1:AC5)</f>
        <v>3</v>
      </c>
      <c r="D80" t="inlineStr">
        <is>
          <t xml:space="preserve">Lookup &amp; Reference</t>
        </is>
      </c>
    </row>
    <row r="81">
      <c r="A81" t="inlineStr">
        <is>
          <t xml:space="preserve">ADDRESS</t>
        </is>
      </c>
      <c r="B81" t="inlineStr">
        <is>
          <t xml:space="preserve">=ADDRESS(4,2,1)</t>
        </is>
      </c>
      <c r="C81">
        <f>ADDRESS(4,2,1)</f>
      </c>
      <c r="D81" t="inlineStr">
        <is>
          <t xml:space="preserve">Lookup &amp; Reference</t>
        </is>
      </c>
    </row>
  </sheetData>
</worksheet>
</file>