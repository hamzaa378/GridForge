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100 Functions v9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85B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/>
    <xf numFmtId="0" fontId="1" fillId="2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>
        <v>1</v>
      </c>
      <c r="B1">
        <v>2</v>
      </c>
      <c r="D1" t="inlineStr">
        <is>
          <t xml:space="preserve">Region</t>
        </is>
      </c>
      <c r="E1" t="inlineStr">
        <is>
          <t xml:space="preserve">Sales</t>
        </is>
      </c>
      <c r="G1" t="inlineStr">
        <is>
          <t xml:space="preserve">Region</t>
        </is>
      </c>
      <c r="H1">
        <v>1</v>
      </c>
      <c r="I1">
        <v>2</v>
      </c>
      <c r="J1">
        <v>0.2</v>
      </c>
      <c r="K1" s="1" t="inlineStr">
        <is>
          <t xml:space="preserve">Function</t>
        </is>
      </c>
      <c r="L1" s="1" t="inlineStr">
        <is>
          <t xml:space="preserve">Live result</t>
        </is>
      </c>
      <c r="M1" s="1" t="inlineStr">
        <is>
          <t xml:space="preserve">Original formula</t>
        </is>
      </c>
      <c r="N1" s="1" t="inlineStr">
        <is>
          <t xml:space="preserve">Category</t>
        </is>
      </c>
    </row>
    <row r="2">
      <c r="A2">
        <v>2</v>
      </c>
      <c r="B2">
        <v>3</v>
      </c>
      <c r="D2" t="inlineStr">
        <is>
          <t xml:space="preserve">East</t>
        </is>
      </c>
      <c r="E2">
        <v>20</v>
      </c>
      <c r="G2" t="inlineStr">
        <is>
          <t xml:space="preserve">East</t>
        </is>
      </c>
      <c r="H2">
        <v>3</v>
      </c>
      <c r="I2">
        <v>4</v>
      </c>
      <c r="J2">
        <v>0.2</v>
      </c>
      <c r="K2" t="inlineStr">
        <is>
          <t xml:space="preserve">BETADIST</t>
        </is>
      </c>
      <c r="L2">
        <f>BETADIST(0.5,2,2)</f>
        <v>0.5000000000000002</v>
      </c>
      <c r="M2" t="inlineStr">
        <is>
          <t xml:space="preserve">=BETADIST(0.5,2,2)</t>
        </is>
      </c>
      <c r="N2" t="inlineStr">
        <is>
          <t xml:space="preserve">Statistical</t>
        </is>
      </c>
    </row>
    <row r="3">
      <c r="A3">
        <v>3</v>
      </c>
      <c r="B3">
        <v>4</v>
      </c>
      <c r="D3" t="inlineStr">
        <is>
          <t xml:space="preserve">West</t>
        </is>
      </c>
      <c r="E3">
        <v>30</v>
      </c>
      <c r="J3">
        <v>0.2</v>
      </c>
      <c r="K3" t="inlineStr">
        <is>
          <t xml:space="preserve">BETAINV</t>
        </is>
      </c>
      <c r="L3">
        <f>BETAINV(0.5,2,2)</f>
        <v>0.4999999999999999</v>
      </c>
      <c r="M3" t="inlineStr">
        <is>
          <t xml:space="preserve">=BETAINV(0.5,2,2)</t>
        </is>
      </c>
      <c r="N3" t="inlineStr">
        <is>
          <t xml:space="preserve">Statistical</t>
        </is>
      </c>
    </row>
    <row r="4">
      <c r="A4">
        <v>4</v>
      </c>
      <c r="B4">
        <v>5</v>
      </c>
      <c r="D4" t="inlineStr">
        <is>
          <t xml:space="preserve">East</t>
        </is>
      </c>
      <c r="E4">
        <v>40</v>
      </c>
      <c r="J4">
        <v>0.2</v>
      </c>
      <c r="K4" t="inlineStr">
        <is>
          <t xml:space="preserve">BIN2DEC</t>
        </is>
      </c>
      <c r="L4">
        <f>BIN2DEC("1010")</f>
        <v>10</v>
      </c>
      <c r="M4" t="inlineStr">
        <is>
          <t xml:space="preserve">=BIN2DEC("1010")</t>
        </is>
      </c>
      <c r="N4" t="inlineStr">
        <is>
          <t xml:space="preserve">Math &amp; Engineering</t>
        </is>
      </c>
    </row>
    <row r="5">
      <c r="A5">
        <v>5</v>
      </c>
      <c r="B5">
        <v>6</v>
      </c>
      <c r="J5">
        <v>0.2</v>
      </c>
      <c r="K5" t="inlineStr">
        <is>
          <t xml:space="preserve">BIN2HEX</t>
        </is>
      </c>
      <c r="L5">
        <f>BIN2HEX("1010")</f>
      </c>
      <c r="M5" t="inlineStr">
        <is>
          <t xml:space="preserve">=BIN2HEX("1010")</t>
        </is>
      </c>
      <c r="N5" t="inlineStr">
        <is>
          <t xml:space="preserve">Math &amp; Engineering</t>
        </is>
      </c>
    </row>
    <row r="6">
      <c r="K6" t="inlineStr">
        <is>
          <t xml:space="preserve">BIN2OCT</t>
        </is>
      </c>
      <c r="L6">
        <f>BIN2OCT("1010")</f>
      </c>
      <c r="M6" t="inlineStr">
        <is>
          <t xml:space="preserve">=BIN2OCT("1010")</t>
        </is>
      </c>
      <c r="N6" t="inlineStr">
        <is>
          <t xml:space="preserve">Math &amp; Engineering</t>
        </is>
      </c>
    </row>
    <row r="7">
      <c r="K7" t="inlineStr">
        <is>
          <t xml:space="preserve">BINOM.INV</t>
        </is>
      </c>
      <c r="L7">
        <f>BINOM.INV(10,0.5,0.5)</f>
        <v>5</v>
      </c>
      <c r="M7" t="inlineStr">
        <is>
          <t xml:space="preserve">=BINOM.INV(10,0.5,0.5)</t>
        </is>
      </c>
      <c r="N7" t="inlineStr">
        <is>
          <t xml:space="preserve">Statistical</t>
        </is>
      </c>
    </row>
    <row r="8">
      <c r="K8" t="inlineStr">
        <is>
          <t xml:space="preserve">BINOMDIST</t>
        </is>
      </c>
      <c r="L8">
        <f>BINOMDIST(2,4,0.5,TRUE)</f>
        <v>0.6875</v>
      </c>
      <c r="M8" t="inlineStr">
        <is>
          <t xml:space="preserve">=BINOMDIST(2,4,0.5,TRUE)</t>
        </is>
      </c>
      <c r="N8" t="inlineStr">
        <is>
          <t xml:space="preserve">Compatibility</t>
        </is>
      </c>
    </row>
    <row r="9">
      <c r="K9" t="inlineStr">
        <is>
          <t xml:space="preserve">CHIDIST</t>
        </is>
      </c>
      <c r="L9">
        <f>CHIDIST(3,4)</f>
        <v>0.557825400371075</v>
      </c>
      <c r="M9" t="inlineStr">
        <is>
          <t xml:space="preserve">=CHIDIST(3,4)</t>
        </is>
      </c>
      <c r="N9" t="inlineStr">
        <is>
          <t xml:space="preserve">Statistical</t>
        </is>
      </c>
    </row>
    <row r="10">
      <c r="K10" t="inlineStr">
        <is>
          <t xml:space="preserve">CHIINV</t>
        </is>
      </c>
      <c r="L10">
        <f>CHIINV(0.25,4)</f>
        <v>5.3852690577794196</v>
      </c>
      <c r="M10" t="inlineStr">
        <is>
          <t xml:space="preserve">=CHIINV(0.25,4)</t>
        </is>
      </c>
      <c r="N10" t="inlineStr">
        <is>
          <t xml:space="preserve">Statistical</t>
        </is>
      </c>
    </row>
    <row r="11">
      <c r="K11" t="inlineStr">
        <is>
          <t xml:space="preserve">CHITEST</t>
        </is>
      </c>
      <c r="L11">
        <f>CHITEST(A1:A5,B1:B5)</f>
        <v>0.8354598814480005</v>
      </c>
      <c r="M11" t="inlineStr">
        <is>
          <t xml:space="preserve">=CHITEST(A1:A5,B1:B5)</t>
        </is>
      </c>
      <c r="N11" t="inlineStr">
        <is>
          <t xml:space="preserve">Statistical</t>
        </is>
      </c>
    </row>
    <row r="12">
      <c r="K12" t="inlineStr">
        <is>
          <t xml:space="preserve">COMPLEX</t>
        </is>
      </c>
      <c r="L12">
        <f>COMPLEX(3,4)</f>
      </c>
      <c r="M12" t="inlineStr">
        <is>
          <t xml:space="preserve">=COMPLEX(3,4)</t>
        </is>
      </c>
      <c r="N12" t="inlineStr">
        <is>
          <t xml:space="preserve">Math &amp; Engineering</t>
        </is>
      </c>
    </row>
    <row r="13">
      <c r="K13" t="inlineStr">
        <is>
          <t xml:space="preserve">CONFIDENCE</t>
        </is>
      </c>
      <c r="L13">
        <f>CONFIDENCE(0.05,2,100)</f>
        <v>0.3919925606549345</v>
      </c>
      <c r="M13" t="inlineStr">
        <is>
          <t xml:space="preserve">=CONFIDENCE(0.05,2,100)</t>
        </is>
      </c>
      <c r="N13" t="inlineStr">
        <is>
          <t xml:space="preserve">Compatibility</t>
        </is>
      </c>
    </row>
    <row r="14">
      <c r="K14" t="inlineStr">
        <is>
          <t xml:space="preserve">CONVERT</t>
        </is>
      </c>
      <c r="L14">
        <f>CONVERT(1,"mi","km")</f>
        <v>1.609344</v>
      </c>
      <c r="M14" t="inlineStr">
        <is>
          <t xml:space="preserve">=CONVERT(1,"mi","km")</t>
        </is>
      </c>
      <c r="N14" t="inlineStr">
        <is>
          <t xml:space="preserve">Math &amp; Engineering</t>
        </is>
      </c>
    </row>
    <row r="15">
      <c r="K15" t="inlineStr">
        <is>
          <t xml:space="preserve">COVAR</t>
        </is>
      </c>
      <c r="L15">
        <f>COVAR(A1:A5,B1:B5)</f>
        <v>2</v>
      </c>
      <c r="M15" t="inlineStr">
        <is>
          <t xml:space="preserve">=COVAR(A1:A5,B1:B5)</t>
        </is>
      </c>
      <c r="N15" t="inlineStr">
        <is>
          <t xml:space="preserve">Compatibility</t>
        </is>
      </c>
    </row>
    <row r="16">
      <c r="K16" t="inlineStr">
        <is>
          <t xml:space="preserve">CRITBINOM</t>
        </is>
      </c>
      <c r="L16">
        <f>CRITBINOM(10,0.5,0.5)</f>
        <v>5</v>
      </c>
      <c r="M16" t="inlineStr">
        <is>
          <t xml:space="preserve">=CRITBINOM(10,0.5,0.5)</t>
        </is>
      </c>
      <c r="N16" t="inlineStr">
        <is>
          <t xml:space="preserve">Statistical</t>
        </is>
      </c>
    </row>
    <row r="17">
      <c r="K17" t="inlineStr">
        <is>
          <t xml:space="preserve">DAVERAGE</t>
        </is>
      </c>
      <c r="L17">
        <f>DAVERAGE(D1:E4,"Sales",G1:G2)</f>
        <v>30</v>
      </c>
      <c r="M17" t="inlineStr">
        <is>
          <t xml:space="preserve">=DAVERAGE(D1:E4,"Sales",G1:G2)</t>
        </is>
      </c>
      <c r="N17" t="inlineStr">
        <is>
          <t xml:space="preserve">Database</t>
        </is>
      </c>
    </row>
    <row r="18">
      <c r="K18" t="inlineStr">
        <is>
          <t xml:space="preserve">DCOUNT</t>
        </is>
      </c>
      <c r="L18">
        <f>DCOUNT(D1:E4,"Sales",G1:G2)</f>
        <v>2</v>
      </c>
      <c r="M18" t="inlineStr">
        <is>
          <t xml:space="preserve">=DCOUNT(D1:E4,"Sales",G1:G2)</t>
        </is>
      </c>
      <c r="N18" t="inlineStr">
        <is>
          <t xml:space="preserve">Database</t>
        </is>
      </c>
    </row>
    <row r="19">
      <c r="K19" t="inlineStr">
        <is>
          <t xml:space="preserve">DCOUNTA</t>
        </is>
      </c>
      <c r="L19">
        <f>DCOUNTA(D1:E4,"Sales",G1:G2)</f>
        <v>2</v>
      </c>
      <c r="M19" t="inlineStr">
        <is>
          <t xml:space="preserve">=DCOUNTA(D1:E4,"Sales",G1:G2)</t>
        </is>
      </c>
      <c r="N19" t="inlineStr">
        <is>
          <t xml:space="preserve">Database</t>
        </is>
      </c>
    </row>
    <row r="20">
      <c r="K20" t="inlineStr">
        <is>
          <t xml:space="preserve">DEC2BIN</t>
        </is>
      </c>
      <c r="L20">
        <f>DEC2BIN(10)</f>
      </c>
      <c r="M20" t="inlineStr">
        <is>
          <t xml:space="preserve">=DEC2BIN(10)</t>
        </is>
      </c>
      <c r="N20" t="inlineStr">
        <is>
          <t xml:space="preserve">Math &amp; Engineering</t>
        </is>
      </c>
    </row>
    <row r="21">
      <c r="K21" t="inlineStr">
        <is>
          <t xml:space="preserve">DEC2HEX</t>
        </is>
      </c>
      <c r="L21">
        <f>DEC2HEX(255)</f>
      </c>
      <c r="M21" t="inlineStr">
        <is>
          <t xml:space="preserve">=DEC2HEX(255)</t>
        </is>
      </c>
      <c r="N21" t="inlineStr">
        <is>
          <t xml:space="preserve">Math &amp; Engineering</t>
        </is>
      </c>
    </row>
    <row r="22">
      <c r="K22" t="inlineStr">
        <is>
          <t xml:space="preserve">DEC2OCT</t>
        </is>
      </c>
      <c r="L22">
        <f>DEC2OCT(8)</f>
      </c>
      <c r="M22" t="inlineStr">
        <is>
          <t xml:space="preserve">=DEC2OCT(8)</t>
        </is>
      </c>
      <c r="N22" t="inlineStr">
        <is>
          <t xml:space="preserve">Math &amp; Engineering</t>
        </is>
      </c>
    </row>
    <row r="23">
      <c r="K23" t="inlineStr">
        <is>
          <t xml:space="preserve">DGET</t>
        </is>
      </c>
      <c r="L23">
        <f>DGET(D1:E4,"Sales",D1:E2)</f>
        <v>20</v>
      </c>
      <c r="M23" t="inlineStr">
        <is>
          <t xml:space="preserve">=DGET(D1:E4,"Sales",D1:E2)</t>
        </is>
      </c>
      <c r="N23" t="inlineStr">
        <is>
          <t xml:space="preserve">Database</t>
        </is>
      </c>
    </row>
    <row r="24">
      <c r="K24" t="inlineStr">
        <is>
          <t xml:space="preserve">DMAX</t>
        </is>
      </c>
      <c r="L24">
        <f>DMAX(D1:E4,"Sales",G1:G2)</f>
        <v>40</v>
      </c>
      <c r="M24" t="inlineStr">
        <is>
          <t xml:space="preserve">=DMAX(D1:E4,"Sales",G1:G2)</t>
        </is>
      </c>
      <c r="N24" t="inlineStr">
        <is>
          <t xml:space="preserve">Database</t>
        </is>
      </c>
    </row>
    <row r="25">
      <c r="K25" t="inlineStr">
        <is>
          <t xml:space="preserve">DMIN</t>
        </is>
      </c>
      <c r="L25">
        <f>DMIN(D1:E4,"Sales",G1:G2)</f>
        <v>20</v>
      </c>
      <c r="M25" t="inlineStr">
        <is>
          <t xml:space="preserve">=DMIN(D1:E4,"Sales",G1:G2)</t>
        </is>
      </c>
      <c r="N25" t="inlineStr">
        <is>
          <t xml:space="preserve">Database</t>
        </is>
      </c>
    </row>
    <row r="26">
      <c r="K26" t="inlineStr">
        <is>
          <t xml:space="preserve">DPRODUCT</t>
        </is>
      </c>
      <c r="L26">
        <f>DPRODUCT(D1:E4,"Sales",G1:G2)</f>
        <v>800</v>
      </c>
      <c r="M26" t="inlineStr">
        <is>
          <t xml:space="preserve">=DPRODUCT(D1:E4,"Sales",G1:G2)</t>
        </is>
      </c>
      <c r="N26" t="inlineStr">
        <is>
          <t xml:space="preserve">Database</t>
        </is>
      </c>
    </row>
    <row r="27">
      <c r="K27" t="inlineStr">
        <is>
          <t xml:space="preserve">DSTDEV</t>
        </is>
      </c>
      <c r="L27">
        <f>DSTDEV(D1:E4,"Sales",G1:G2)</f>
        <v>14.142135623730951</v>
      </c>
      <c r="M27" t="inlineStr">
        <is>
          <t xml:space="preserve">=DSTDEV(D1:E4,"Sales",G1:G2)</t>
        </is>
      </c>
      <c r="N27" t="inlineStr">
        <is>
          <t xml:space="preserve">Database</t>
        </is>
      </c>
    </row>
    <row r="28">
      <c r="K28" t="inlineStr">
        <is>
          <t xml:space="preserve">DSTDEVP</t>
        </is>
      </c>
      <c r="L28">
        <f>DSTDEVP(D1:E4,"Sales",G1:G2)</f>
        <v>10</v>
      </c>
      <c r="M28" t="inlineStr">
        <is>
          <t xml:space="preserve">=DSTDEVP(D1:E4,"Sales",G1:G2)</t>
        </is>
      </c>
      <c r="N28" t="inlineStr">
        <is>
          <t xml:space="preserve">Database</t>
        </is>
      </c>
    </row>
    <row r="29">
      <c r="K29" t="inlineStr">
        <is>
          <t xml:space="preserve">DSUM</t>
        </is>
      </c>
      <c r="L29">
        <f>DSUM(D1:E4,"Sales",G1:G2)</f>
        <v>60</v>
      </c>
      <c r="M29" t="inlineStr">
        <is>
          <t xml:space="preserve">=DSUM(D1:E4,"Sales",G1:G2)</t>
        </is>
      </c>
      <c r="N29" t="inlineStr">
        <is>
          <t xml:space="preserve">Database</t>
        </is>
      </c>
    </row>
    <row r="30">
      <c r="K30" t="inlineStr">
        <is>
          <t xml:space="preserve">DURATION</t>
        </is>
      </c>
      <c r="L30">
        <f>DURATION(45000,47000,0.05,0.06,2)</f>
        <v>4.857877945287447</v>
      </c>
      <c r="M30" t="inlineStr">
        <is>
          <t xml:space="preserve">=DURATION(45000,47000,0.05,0.06,2)</t>
        </is>
      </c>
      <c r="N30" t="inlineStr">
        <is>
          <t xml:space="preserve">Financial</t>
        </is>
      </c>
    </row>
    <row r="31">
      <c r="K31" t="inlineStr">
        <is>
          <t xml:space="preserve">DVAR</t>
        </is>
      </c>
      <c r="L31">
        <f>DVAR(D1:E4,"Sales",G1:G2)</f>
        <v>200</v>
      </c>
      <c r="M31" t="inlineStr">
        <is>
          <t xml:space="preserve">=DVAR(D1:E4,"Sales",G1:G2)</t>
        </is>
      </c>
      <c r="N31" t="inlineStr">
        <is>
          <t xml:space="preserve">Database</t>
        </is>
      </c>
    </row>
    <row r="32">
      <c r="K32" t="inlineStr">
        <is>
          <t xml:space="preserve">DVARP</t>
        </is>
      </c>
      <c r="L32">
        <f>DVARP(D1:E4,"Sales",G1:G2)</f>
        <v>100</v>
      </c>
      <c r="M32" t="inlineStr">
        <is>
          <t xml:space="preserve">=DVARP(D1:E4,"Sales",G1:G2)</t>
        </is>
      </c>
      <c r="N32" t="inlineStr">
        <is>
          <t xml:space="preserve">Database</t>
        </is>
      </c>
    </row>
    <row r="33">
      <c r="K33" t="inlineStr">
        <is>
          <t xml:space="preserve">ECMA.CEILING</t>
        </is>
      </c>
      <c r="L33">
        <f>ECMA.CEILING(7.2,2)</f>
        <v>8</v>
      </c>
      <c r="M33" t="inlineStr">
        <is>
          <t xml:space="preserve">=ECMA.CEILING(7.2,2)</t>
        </is>
      </c>
      <c r="N33" t="inlineStr">
        <is>
          <t xml:space="preserve">Compatibility</t>
        </is>
      </c>
    </row>
    <row r="34">
      <c r="K34" t="inlineStr">
        <is>
          <t xml:space="preserve">EXPONDIST</t>
        </is>
      </c>
      <c r="L34">
        <f>EXPONDIST(2,0.5,TRUE)</f>
        <v>0.6321205588285577</v>
      </c>
      <c r="M34" t="inlineStr">
        <is>
          <t xml:space="preserve">=EXPONDIST(2,0.5,TRUE)</t>
        </is>
      </c>
      <c r="N34" t="inlineStr">
        <is>
          <t xml:space="preserve">Compatibility</t>
        </is>
      </c>
    </row>
    <row r="35">
      <c r="K35" t="b">
        <v>0</v>
      </c>
      <c r="L35">
        <f>FALSE()</f>
      </c>
      <c r="M35" t="inlineStr">
        <is>
          <t xml:space="preserve">=FALSE()</t>
        </is>
      </c>
      <c r="N35" t="inlineStr">
        <is>
          <t xml:space="preserve">Logical</t>
        </is>
      </c>
    </row>
    <row r="36">
      <c r="K36" t="inlineStr">
        <is>
          <t xml:space="preserve">FDIST</t>
        </is>
      </c>
      <c r="L36">
        <f>FDIST(2,5,5)</f>
        <v>0.23251131913037726</v>
      </c>
      <c r="M36" t="inlineStr">
        <is>
          <t xml:space="preserve">=FDIST(2,5,5)</t>
        </is>
      </c>
      <c r="N36" t="inlineStr">
        <is>
          <t xml:space="preserve">Statistical</t>
        </is>
      </c>
    </row>
    <row r="37">
      <c r="K37" t="inlineStr">
        <is>
          <t xml:space="preserve">FINV</t>
        </is>
      </c>
      <c r="L37">
        <f>FINV(0.25,5,5)</f>
        <v>1.8946597673991308</v>
      </c>
      <c r="M37" t="inlineStr">
        <is>
          <t xml:space="preserve">=FINV(0.25,5,5)</t>
        </is>
      </c>
      <c r="N37" t="inlineStr">
        <is>
          <t xml:space="preserve">Statistical</t>
        </is>
      </c>
    </row>
    <row r="38">
      <c r="K38" t="inlineStr">
        <is>
          <t xml:space="preserve">FREQUENCY</t>
        </is>
      </c>
      <c r="L38">
        <f>INDEX(FREQUENCY(A1:A5,B1:B2),1,1)</f>
        <v>2</v>
      </c>
      <c r="M38" t="inlineStr">
        <is>
          <t xml:space="preserve">=INDEX(FREQUENCY(A1:A5,B1:B2),1,1)</t>
        </is>
      </c>
      <c r="N38" t="inlineStr">
        <is>
          <t xml:space="preserve">Statistical</t>
        </is>
      </c>
    </row>
    <row r="39">
      <c r="K39" t="inlineStr">
        <is>
          <t xml:space="preserve">FTEST</t>
        </is>
      </c>
      <c r="L39">
        <f>FTEST(A1:A5,B1:B5)</f>
        <v>0.9999999999999996</v>
      </c>
      <c r="M39" t="inlineStr">
        <is>
          <t xml:space="preserve">=FTEST(A1:A5,B1:B5)</t>
        </is>
      </c>
      <c r="N39" t="inlineStr">
        <is>
          <t xml:space="preserve">Statistical</t>
        </is>
      </c>
    </row>
    <row r="40">
      <c r="K40" t="inlineStr">
        <is>
          <t xml:space="preserve">GAMMADIST</t>
        </is>
      </c>
      <c r="L40">
        <f>GAMMADIST(2,2,2,TRUE)</f>
        <v>0.2642411176571142</v>
      </c>
      <c r="M40" t="inlineStr">
        <is>
          <t xml:space="preserve">=GAMMADIST(2,2,2,TRUE)</t>
        </is>
      </c>
      <c r="N40" t="inlineStr">
        <is>
          <t xml:space="preserve">Statistical</t>
        </is>
      </c>
    </row>
    <row r="41">
      <c r="K41" t="inlineStr">
        <is>
          <t xml:space="preserve">GAMMAINV</t>
        </is>
      </c>
      <c r="L41">
        <f>GAMMAINV(0.5,2,2)</f>
        <v>3.356693980033338</v>
      </c>
      <c r="M41" t="inlineStr">
        <is>
          <t xml:space="preserve">=GAMMAINV(0.5,2,2)</t>
        </is>
      </c>
      <c r="N41" t="inlineStr">
        <is>
          <t xml:space="preserve">Statistical</t>
        </is>
      </c>
    </row>
    <row r="42">
      <c r="K42" t="inlineStr">
        <is>
          <t xml:space="preserve">GROWTH</t>
        </is>
      </c>
      <c r="L42">
        <f>INDEX(GROWTH(B1:B5,A1:A5,A1:A5),1,1)</f>
        <v>2.168943542395397</v>
      </c>
      <c r="M42" t="inlineStr">
        <is>
          <t xml:space="preserve">=INDEX(GROWTH(B1:B5,A1:A5,A1:A5),1,1)</t>
        </is>
      </c>
      <c r="N42" t="inlineStr">
        <is>
          <t xml:space="preserve">Statistical</t>
        </is>
      </c>
    </row>
    <row r="43">
      <c r="K43" t="inlineStr">
        <is>
          <t xml:space="preserve">HEX2BIN</t>
        </is>
      </c>
      <c r="L43">
        <f>HEX2BIN("A")</f>
      </c>
      <c r="M43" t="inlineStr">
        <is>
          <t xml:space="preserve">=HEX2BIN("A")</t>
        </is>
      </c>
      <c r="N43" t="inlineStr">
        <is>
          <t xml:space="preserve">Math &amp; Engineering</t>
        </is>
      </c>
    </row>
    <row r="44">
      <c r="K44" t="inlineStr">
        <is>
          <t xml:space="preserve">HEX2DEC</t>
        </is>
      </c>
      <c r="L44">
        <f>HEX2DEC("FF")</f>
        <v>255</v>
      </c>
      <c r="M44" t="inlineStr">
        <is>
          <t xml:space="preserve">=HEX2DEC("FF")</t>
        </is>
      </c>
      <c r="N44" t="inlineStr">
        <is>
          <t xml:space="preserve">Math &amp; Engineering</t>
        </is>
      </c>
    </row>
    <row r="45">
      <c r="K45" t="inlineStr">
        <is>
          <t xml:space="preserve">HEX2OCT</t>
        </is>
      </c>
      <c r="L45">
        <f>HEX2OCT("A")</f>
      </c>
      <c r="M45" t="inlineStr">
        <is>
          <t xml:space="preserve">=HEX2OCT("A")</t>
        </is>
      </c>
      <c r="N45" t="inlineStr">
        <is>
          <t xml:space="preserve">Math &amp; Engineering</t>
        </is>
      </c>
    </row>
    <row r="46">
      <c r="K46" t="inlineStr">
        <is>
          <t xml:space="preserve">HYPGEOMDIST</t>
        </is>
      </c>
      <c r="L46">
        <f>HYPGEOMDIST(2,5,6,20)</f>
        <v>0.3521671826625387</v>
      </c>
      <c r="M46" t="inlineStr">
        <is>
          <t xml:space="preserve">=HYPGEOMDIST(2,5,6,20)</t>
        </is>
      </c>
      <c r="N46" t="inlineStr">
        <is>
          <t xml:space="preserve">Statistical</t>
        </is>
      </c>
    </row>
    <row r="47">
      <c r="K47" t="inlineStr">
        <is>
          <t xml:space="preserve">IMABS</t>
        </is>
      </c>
      <c r="L47">
        <f>IMABS("3+4i")</f>
        <v>5</v>
      </c>
      <c r="M47" t="inlineStr">
        <is>
          <t xml:space="preserve">=IMABS("3+4i")</t>
        </is>
      </c>
      <c r="N47" t="inlineStr">
        <is>
          <t xml:space="preserve">Math &amp; Engineering</t>
        </is>
      </c>
    </row>
    <row r="48">
      <c r="K48" t="inlineStr">
        <is>
          <t xml:space="preserve">IMAGINARY</t>
        </is>
      </c>
      <c r="L48">
        <f>IMAGINARY("3+4i")</f>
        <v>4</v>
      </c>
      <c r="M48" t="inlineStr">
        <is>
          <t xml:space="preserve">=IMAGINARY("3+4i")</t>
        </is>
      </c>
      <c r="N48" t="inlineStr">
        <is>
          <t xml:space="preserve">Math &amp; Engineering</t>
        </is>
      </c>
    </row>
    <row r="49">
      <c r="K49" t="inlineStr">
        <is>
          <t xml:space="preserve">IMARGUMENT</t>
        </is>
      </c>
      <c r="L49">
        <f>IMARGUMENT("3+4i")</f>
        <v>0.9272952180016122</v>
      </c>
      <c r="M49" t="inlineStr">
        <is>
          <t xml:space="preserve">=IMARGUMENT("3+4i")</t>
        </is>
      </c>
      <c r="N49" t="inlineStr">
        <is>
          <t xml:space="preserve">Math &amp; Engineering</t>
        </is>
      </c>
    </row>
    <row r="50">
      <c r="K50" t="inlineStr">
        <is>
          <t xml:space="preserve">IMCONJUGATE</t>
        </is>
      </c>
      <c r="L50">
        <f>IMCONJUGATE("3+4i")</f>
      </c>
      <c r="M50" t="inlineStr">
        <is>
          <t xml:space="preserve">=IMCONJUGATE("3+4i")</t>
        </is>
      </c>
      <c r="N50" t="inlineStr">
        <is>
          <t xml:space="preserve">Math &amp; Engineering</t>
        </is>
      </c>
    </row>
    <row r="51">
      <c r="K51" t="inlineStr">
        <is>
          <t xml:space="preserve">IMCOS</t>
        </is>
      </c>
      <c r="L51">
        <f>IMCOS("1+2i")</f>
      </c>
      <c r="M51" t="inlineStr">
        <is>
          <t xml:space="preserve">=IMCOS("1+2i")</t>
        </is>
      </c>
      <c r="N51" t="inlineStr">
        <is>
          <t xml:space="preserve">Math &amp; Engineering</t>
        </is>
      </c>
    </row>
    <row r="52">
      <c r="K52" t="inlineStr">
        <is>
          <t xml:space="preserve">IMDIV</t>
        </is>
      </c>
      <c r="L52">
        <f>IMDIV("3+4i","1+i")</f>
      </c>
      <c r="M52" t="inlineStr">
        <is>
          <t xml:space="preserve">=IMDIV("3+4i","1+i")</t>
        </is>
      </c>
      <c r="N52" t="inlineStr">
        <is>
          <t xml:space="preserve">Math &amp; Engineering</t>
        </is>
      </c>
    </row>
    <row r="53">
      <c r="K53" t="inlineStr">
        <is>
          <t xml:space="preserve">IMEXP</t>
        </is>
      </c>
      <c r="L53">
        <f>IMEXP("1+i")</f>
      </c>
      <c r="M53" t="inlineStr">
        <is>
          <t xml:space="preserve">=IMEXP("1+i")</t>
        </is>
      </c>
      <c r="N53" t="inlineStr">
        <is>
          <t xml:space="preserve">Math &amp; Engineering</t>
        </is>
      </c>
    </row>
    <row r="54">
      <c r="K54" t="inlineStr">
        <is>
          <t xml:space="preserve">IMLN</t>
        </is>
      </c>
      <c r="L54">
        <f>IMLN("1+i")</f>
      </c>
      <c r="M54" t="inlineStr">
        <is>
          <t xml:space="preserve">=IMLN("1+i")</t>
        </is>
      </c>
      <c r="N54" t="inlineStr">
        <is>
          <t xml:space="preserve">Math &amp; Engineering</t>
        </is>
      </c>
    </row>
    <row r="55">
      <c r="K55" t="inlineStr">
        <is>
          <t xml:space="preserve">IMLOG10</t>
        </is>
      </c>
      <c r="L55">
        <f>IMLOG10("1+i")</f>
      </c>
      <c r="M55" t="inlineStr">
        <is>
          <t xml:space="preserve">=IMLOG10("1+i")</t>
        </is>
      </c>
      <c r="N55" t="inlineStr">
        <is>
          <t xml:space="preserve">Math &amp; Engineering</t>
        </is>
      </c>
    </row>
    <row r="56">
      <c r="K56" t="inlineStr">
        <is>
          <t xml:space="preserve">IMLOG2</t>
        </is>
      </c>
      <c r="L56">
        <f>IMLOG2("1+i")</f>
      </c>
      <c r="M56" t="inlineStr">
        <is>
          <t xml:space="preserve">=IMLOG2("1+i")</t>
        </is>
      </c>
      <c r="N56" t="inlineStr">
        <is>
          <t xml:space="preserve">Math &amp; Engineering</t>
        </is>
      </c>
    </row>
    <row r="57">
      <c r="K57" t="inlineStr">
        <is>
          <t xml:space="preserve">IMPOWER</t>
        </is>
      </c>
      <c r="L57">
        <f>IMPOWER("1+i","2")</f>
      </c>
      <c r="M57" t="inlineStr">
        <is>
          <t xml:space="preserve">=IMPOWER("1+i","2")</t>
        </is>
      </c>
      <c r="N57" t="inlineStr">
        <is>
          <t xml:space="preserve">Math &amp; Engineering</t>
        </is>
      </c>
    </row>
    <row r="58">
      <c r="K58" t="inlineStr">
        <is>
          <t xml:space="preserve">IMPRODUCT</t>
        </is>
      </c>
      <c r="L58">
        <f>IMPRODUCT("1+i","1-i")</f>
      </c>
      <c r="M58" t="inlineStr">
        <is>
          <t xml:space="preserve">=IMPRODUCT("1+i","1-i")</t>
        </is>
      </c>
      <c r="N58" t="inlineStr">
        <is>
          <t xml:space="preserve">Math &amp; Engineering</t>
        </is>
      </c>
    </row>
    <row r="59">
      <c r="K59" t="inlineStr">
        <is>
          <t xml:space="preserve">IMREAL</t>
        </is>
      </c>
      <c r="L59">
        <f>IMREAL("3+4i")</f>
        <v>3</v>
      </c>
      <c r="M59" t="inlineStr">
        <is>
          <t xml:space="preserve">=IMREAL("3+4i")</t>
        </is>
      </c>
      <c r="N59" t="inlineStr">
        <is>
          <t xml:space="preserve">Math &amp; Engineering</t>
        </is>
      </c>
    </row>
    <row r="60">
      <c r="K60" t="inlineStr">
        <is>
          <t xml:space="preserve">IMSIN</t>
        </is>
      </c>
      <c r="L60">
        <f>IMSIN("1+i")</f>
      </c>
      <c r="M60" t="inlineStr">
        <is>
          <t xml:space="preserve">=IMSIN("1+i")</t>
        </is>
      </c>
      <c r="N60" t="inlineStr">
        <is>
          <t xml:space="preserve">Math &amp; Engineering</t>
        </is>
      </c>
    </row>
    <row r="61">
      <c r="K61" t="inlineStr">
        <is>
          <t xml:space="preserve">IMSQRT</t>
        </is>
      </c>
      <c r="L61">
        <f>IMSQRT("3+4i")</f>
      </c>
      <c r="M61" t="inlineStr">
        <is>
          <t xml:space="preserve">=IMSQRT("3+4i")</t>
        </is>
      </c>
      <c r="N61" t="inlineStr">
        <is>
          <t xml:space="preserve">Math &amp; Engineering</t>
        </is>
      </c>
    </row>
    <row r="62">
      <c r="K62" t="inlineStr">
        <is>
          <t xml:space="preserve">IMSUB</t>
        </is>
      </c>
      <c r="L62">
        <f>IMSUB("4+3i","2+i")</f>
      </c>
      <c r="M62" t="inlineStr">
        <is>
          <t xml:space="preserve">=IMSUB("4+3i","2+i")</t>
        </is>
      </c>
      <c r="N62" t="inlineStr">
        <is>
          <t xml:space="preserve">Math &amp; Engineering</t>
        </is>
      </c>
    </row>
    <row r="63">
      <c r="K63" t="inlineStr">
        <is>
          <t xml:space="preserve">IMSUM</t>
        </is>
      </c>
      <c r="L63">
        <f>IMSUM("1+i","2+i")</f>
      </c>
      <c r="M63" t="inlineStr">
        <is>
          <t xml:space="preserve">=IMSUM("1+i","2+i")</t>
        </is>
      </c>
      <c r="N63" t="inlineStr">
        <is>
          <t xml:space="preserve">Math &amp; Engineering</t>
        </is>
      </c>
    </row>
    <row r="64">
      <c r="K64" t="inlineStr">
        <is>
          <t xml:space="preserve">LINEST</t>
        </is>
      </c>
      <c r="L64">
        <f>INDEX(LINEST(B1:B5,A1:A5),1,1)</f>
        <v>1</v>
      </c>
      <c r="M64" t="inlineStr">
        <is>
          <t xml:space="preserve">=INDEX(LINEST(B1:B5,A1:A5),1,1)</t>
        </is>
      </c>
      <c r="N64" t="inlineStr">
        <is>
          <t xml:space="preserve">Statistical</t>
        </is>
      </c>
    </row>
    <row r="65">
      <c r="K65" t="inlineStr">
        <is>
          <t xml:space="preserve">LOGEST</t>
        </is>
      </c>
      <c r="L65">
        <f>INDEX(LOGEST(B1:B5,A1:A5),1,1)</f>
        <v>1.3110194230397498</v>
      </c>
      <c r="M65" t="inlineStr">
        <is>
          <t xml:space="preserve">=INDEX(LOGEST(B1:B5,A1:A5),1,1)</t>
        </is>
      </c>
      <c r="N65" t="inlineStr">
        <is>
          <t xml:space="preserve">Statistical</t>
        </is>
      </c>
    </row>
    <row r="66">
      <c r="K66" t="inlineStr">
        <is>
          <t xml:space="preserve">LOGINV</t>
        </is>
      </c>
      <c r="L66">
        <f>LOGINV(0.5,0,1)</f>
        <v>1</v>
      </c>
      <c r="M66" t="inlineStr">
        <is>
          <t xml:space="preserve">=LOGINV(0.5,0,1)</t>
        </is>
      </c>
      <c r="N66" t="inlineStr">
        <is>
          <t xml:space="preserve">Compatibility</t>
        </is>
      </c>
    </row>
    <row r="67">
      <c r="K67" t="inlineStr">
        <is>
          <t xml:space="preserve">LOGNORMDIST</t>
        </is>
      </c>
      <c r="L67">
        <f>LOGNORMDIST(1,0,1,TRUE)</f>
        <v>0.5</v>
      </c>
      <c r="M67" t="inlineStr">
        <is>
          <t xml:space="preserve">=LOGNORMDIST(1,0,1,TRUE)</t>
        </is>
      </c>
      <c r="N67" t="inlineStr">
        <is>
          <t xml:space="preserve">Compatibility</t>
        </is>
      </c>
    </row>
    <row r="68">
      <c r="K68" t="inlineStr">
        <is>
          <t xml:space="preserve">MDETERM</t>
        </is>
      </c>
      <c r="L68">
        <f>MDETERM(H1:I2)</f>
        <v>-2</v>
      </c>
      <c r="M68" t="inlineStr">
        <is>
          <t xml:space="preserve">=MDETERM(H1:I2)</t>
        </is>
      </c>
      <c r="N68" t="inlineStr">
        <is>
          <t xml:space="preserve">Math &amp; Engineering</t>
        </is>
      </c>
    </row>
    <row r="69">
      <c r="K69" t="inlineStr">
        <is>
          <t xml:space="preserve">MDURATION</t>
        </is>
      </c>
      <c r="L69">
        <f>MDURATION(45000,47000,0.05,0.06,2)</f>
        <v>4.716386354648006</v>
      </c>
      <c r="M69" t="inlineStr">
        <is>
          <t xml:space="preserve">=MDURATION(45000,47000,0.05,0.06,2)</t>
        </is>
      </c>
      <c r="N69" t="inlineStr">
        <is>
          <t xml:space="preserve">Financial</t>
        </is>
      </c>
    </row>
    <row r="70">
      <c r="K70" t="inlineStr">
        <is>
          <t xml:space="preserve">MINVERSE</t>
        </is>
      </c>
      <c r="L70">
        <f>INDEX(MINVERSE(H1:I2),1,1)</f>
        <v>-1.9999999999999996</v>
      </c>
      <c r="M70" t="inlineStr">
        <is>
          <t xml:space="preserve">=INDEX(MINVERSE(H1:I2),1,1)</t>
        </is>
      </c>
      <c r="N70" t="inlineStr">
        <is>
          <t xml:space="preserve">Math &amp; Engineering</t>
        </is>
      </c>
    </row>
    <row r="71">
      <c r="K71" t="inlineStr">
        <is>
          <t xml:space="preserve">MMULT</t>
        </is>
      </c>
      <c r="L71">
        <f>INDEX(MMULT(H1:I2,H1:I2),1,1)</f>
        <v>7</v>
      </c>
      <c r="M71" t="inlineStr">
        <is>
          <t xml:space="preserve">=INDEX(MMULT(H1:I2,H1:I2),1,1)</t>
        </is>
      </c>
      <c r="N71" t="inlineStr">
        <is>
          <t xml:space="preserve">Math &amp; Engineering</t>
        </is>
      </c>
    </row>
    <row r="72">
      <c r="K72" t="inlineStr">
        <is>
          <t xml:space="preserve">NEGBINOMDIST</t>
        </is>
      </c>
      <c r="L72">
        <f>NEGBINOMDIST(2,3,0.5)</f>
        <v>0.1875</v>
      </c>
      <c r="M72" t="inlineStr">
        <is>
          <t xml:space="preserve">=NEGBINOMDIST(2,3,0.5)</t>
        </is>
      </c>
      <c r="N72" t="inlineStr">
        <is>
          <t xml:space="preserve">Statistical</t>
        </is>
      </c>
    </row>
    <row r="73">
      <c r="K73" t="inlineStr">
        <is>
          <t xml:space="preserve">OCT2BIN</t>
        </is>
      </c>
      <c r="L73">
        <f>OCT2BIN("12")</f>
      </c>
      <c r="M73" t="inlineStr">
        <is>
          <t xml:space="preserve">=OCT2BIN("12")</t>
        </is>
      </c>
      <c r="N73" t="inlineStr">
        <is>
          <t xml:space="preserve">Math &amp; Engineering</t>
        </is>
      </c>
    </row>
    <row r="74">
      <c r="K74" t="inlineStr">
        <is>
          <t xml:space="preserve">OCT2DEC</t>
        </is>
      </c>
      <c r="L74">
        <f>OCT2DEC("12")</f>
        <v>10</v>
      </c>
      <c r="M74" t="inlineStr">
        <is>
          <t xml:space="preserve">=OCT2DEC("12")</t>
        </is>
      </c>
      <c r="N74" t="inlineStr">
        <is>
          <t xml:space="preserve">Math &amp; Engineering</t>
        </is>
      </c>
    </row>
    <row r="75">
      <c r="K75" t="inlineStr">
        <is>
          <t xml:space="preserve">OCT2HEX</t>
        </is>
      </c>
      <c r="L75">
        <f>OCT2HEX("12")</f>
      </c>
      <c r="M75" t="inlineStr">
        <is>
          <t xml:space="preserve">=OCT2HEX("12")</t>
        </is>
      </c>
      <c r="N75" t="inlineStr">
        <is>
          <t xml:space="preserve">Math &amp; Engineering</t>
        </is>
      </c>
    </row>
    <row r="76">
      <c r="K76" t="inlineStr">
        <is>
          <t xml:space="preserve">POISSON</t>
        </is>
      </c>
      <c r="L76">
        <f>POISSON(2,3,TRUE)</f>
        <v>0.42319008112684325</v>
      </c>
      <c r="M76" t="inlineStr">
        <is>
          <t xml:space="preserve">=POISSON(2,3,TRUE)</t>
        </is>
      </c>
      <c r="N76" t="inlineStr">
        <is>
          <t xml:space="preserve">Compatibility</t>
        </is>
      </c>
    </row>
    <row r="77">
      <c r="K77" t="inlineStr">
        <is>
          <t xml:space="preserve">PRICE</t>
        </is>
      </c>
      <c r="L77">
        <f>PRICE(45000,45600,0.05,0.06,100,2)</f>
        <v>98.1414507985948</v>
      </c>
      <c r="M77" t="inlineStr">
        <is>
          <t xml:space="preserve">=PRICE(45000,45600,0.05,0.06,100,2)</t>
        </is>
      </c>
      <c r="N77" t="inlineStr">
        <is>
          <t xml:space="preserve">Financial</t>
        </is>
      </c>
    </row>
    <row r="78">
      <c r="K78" t="inlineStr">
        <is>
          <t xml:space="preserve">PRICEMAT</t>
        </is>
      </c>
      <c r="L78">
        <f>PRICEMAT(45000,45700,44800,0.04,0.05)</f>
        <v>98.05821917808221</v>
      </c>
      <c r="M78" t="inlineStr">
        <is>
          <t xml:space="preserve">=PRICEMAT(45000,45700,44800,0.04,0.05)</t>
        </is>
      </c>
      <c r="N78" t="inlineStr">
        <is>
          <t xml:space="preserve">Financial</t>
        </is>
      </c>
    </row>
    <row r="79">
      <c r="K79" t="inlineStr">
        <is>
          <t xml:space="preserve">PROB</t>
        </is>
      </c>
      <c r="L79">
        <f>PROB(A1:A5,J1:J5,2,4)</f>
        <v>0.6000000000000001</v>
      </c>
      <c r="M79" t="inlineStr">
        <is>
          <t xml:space="preserve">=PROB(A1:A5,J1:J5,2,4)</t>
        </is>
      </c>
      <c r="N79" t="inlineStr">
        <is>
          <t xml:space="preserve">Statistical</t>
        </is>
      </c>
    </row>
    <row r="80">
      <c r="K80" t="inlineStr">
        <is>
          <t xml:space="preserve">RAND</t>
        </is>
      </c>
      <c r="L80">
        <f>RAND()</f>
        <v>0.846087559738048</v>
      </c>
      <c r="M80" t="inlineStr">
        <is>
          <t xml:space="preserve">=RAND()</t>
        </is>
      </c>
      <c r="N80" t="inlineStr">
        <is>
          <t xml:space="preserve">Math &amp; Engineering</t>
        </is>
      </c>
    </row>
    <row r="81">
      <c r="K81" t="inlineStr">
        <is>
          <t xml:space="preserve">RANDBETWEEN</t>
        </is>
      </c>
      <c r="L81">
        <f>RANDBETWEEN(1,6)</f>
        <v>5</v>
      </c>
      <c r="M81" t="inlineStr">
        <is>
          <t xml:space="preserve">=RANDBETWEEN(1,6)</t>
        </is>
      </c>
      <c r="N81" t="inlineStr">
        <is>
          <t xml:space="preserve">Math &amp; Engineering</t>
        </is>
      </c>
    </row>
    <row r="82">
      <c r="K82" t="inlineStr">
        <is>
          <t xml:space="preserve">RECEIVED</t>
        </is>
      </c>
      <c r="L82">
        <f>RECEIVED(45000,45100,100,0.05)</f>
        <v>101.3888888888889</v>
      </c>
      <c r="M82" t="inlineStr">
        <is>
          <t xml:space="preserve">=RECEIVED(45000,45100,100,0.05)</t>
        </is>
      </c>
      <c r="N82" t="inlineStr">
        <is>
          <t xml:space="preserve">Financial</t>
        </is>
      </c>
    </row>
    <row r="83">
      <c r="K83" t="inlineStr">
        <is>
          <t xml:space="preserve">STDEVA</t>
        </is>
      </c>
      <c r="L83">
        <f>STDEVA(1,2,TRUE)</f>
        <v>0.5773502691896257</v>
      </c>
      <c r="M83" t="inlineStr">
        <is>
          <t xml:space="preserve">=STDEVA(1,2,TRUE)</t>
        </is>
      </c>
      <c r="N83" t="inlineStr">
        <is>
          <t xml:space="preserve">Statistical</t>
        </is>
      </c>
    </row>
    <row r="84">
      <c r="K84" t="inlineStr">
        <is>
          <t xml:space="preserve">STDEVPA</t>
        </is>
      </c>
      <c r="L84">
        <f>STDEVPA(1,2,TRUE)</f>
        <v>0.4714045207910317</v>
      </c>
      <c r="M84" t="inlineStr">
        <is>
          <t xml:space="preserve">=STDEVPA(1,2,TRUE)</t>
        </is>
      </c>
      <c r="N84" t="inlineStr">
        <is>
          <t xml:space="preserve">Statistical</t>
        </is>
      </c>
    </row>
    <row r="85">
      <c r="K85" t="inlineStr">
        <is>
          <t xml:space="preserve">SUBTOTAL</t>
        </is>
      </c>
      <c r="L85">
        <f>SUBTOTAL(9,A1:A5)</f>
        <v>15</v>
      </c>
      <c r="M85" t="inlineStr">
        <is>
          <t xml:space="preserve">=SUBTOTAL(9,A1:A5)</t>
        </is>
      </c>
      <c r="N85" t="inlineStr">
        <is>
          <t xml:space="preserve">Math &amp; Engineering</t>
        </is>
      </c>
    </row>
    <row r="86">
      <c r="K86" t="inlineStr">
        <is>
          <t xml:space="preserve">TBILLEQ</t>
        </is>
      </c>
      <c r="L86">
        <f>TBILLEQ(45000,45100,0.05)</f>
        <v>0.05140845070422535</v>
      </c>
      <c r="M86" t="inlineStr">
        <is>
          <t xml:space="preserve">=TBILLEQ(45000,45100,0.05)</t>
        </is>
      </c>
      <c r="N86" t="inlineStr">
        <is>
          <t xml:space="preserve">Financial</t>
        </is>
      </c>
    </row>
    <row r="87">
      <c r="K87" t="inlineStr">
        <is>
          <t xml:space="preserve">TBILLPRICE</t>
        </is>
      </c>
      <c r="L87">
        <f>TBILLPRICE(45000,45100,0.05)</f>
        <v>98.61111111111111</v>
      </c>
      <c r="M87" t="inlineStr">
        <is>
          <t xml:space="preserve">=TBILLPRICE(45000,45100,0.05)</t>
        </is>
      </c>
      <c r="N87" t="inlineStr">
        <is>
          <t xml:space="preserve">Financial</t>
        </is>
      </c>
    </row>
    <row r="88">
      <c r="K88" t="inlineStr">
        <is>
          <t xml:space="preserve">TBILLYIELD</t>
        </is>
      </c>
      <c r="L88">
        <f>TBILLYIELD(45000,45100,98)</f>
        <v>0.07346938775510203</v>
      </c>
      <c r="M88" t="inlineStr">
        <is>
          <t xml:space="preserve">=TBILLYIELD(45000,45100,98)</t>
        </is>
      </c>
      <c r="N88" t="inlineStr">
        <is>
          <t xml:space="preserve">Financial</t>
        </is>
      </c>
    </row>
    <row r="89">
      <c r="K89" t="inlineStr">
        <is>
          <t xml:space="preserve">TDIST</t>
        </is>
      </c>
      <c r="L89">
        <f>TDIST(1.5,10,2)</f>
        <v>0.1645073264454382</v>
      </c>
      <c r="M89" t="inlineStr">
        <is>
          <t xml:space="preserve">=TDIST(1.5,10,2)</t>
        </is>
      </c>
      <c r="N89" t="inlineStr">
        <is>
          <t xml:space="preserve">Statistical</t>
        </is>
      </c>
    </row>
    <row r="90">
      <c r="K90" t="inlineStr">
        <is>
          <t xml:space="preserve">TINV</t>
        </is>
      </c>
      <c r="L90">
        <f>TINV(0.05,10)</f>
        <v>2.2281388519862606</v>
      </c>
      <c r="M90" t="inlineStr">
        <is>
          <t xml:space="preserve">=TINV(0.05,10)</t>
        </is>
      </c>
      <c r="N90" t="inlineStr">
        <is>
          <t xml:space="preserve">Statistical</t>
        </is>
      </c>
    </row>
    <row r="91">
      <c r="K91" t="inlineStr">
        <is>
          <t xml:space="preserve">TRANSPOSE</t>
        </is>
      </c>
      <c r="L91">
        <f>INDEX(TRANSPOSE(H1:I2),2,1)</f>
        <v>2</v>
      </c>
      <c r="M91" t="inlineStr">
        <is>
          <t xml:space="preserve">=INDEX(TRANSPOSE(H1:I2),2,1)</t>
        </is>
      </c>
      <c r="N91" t="inlineStr">
        <is>
          <t xml:space="preserve">Lookup &amp; Reference</t>
        </is>
      </c>
    </row>
    <row r="92">
      <c r="K92" t="inlineStr">
        <is>
          <t xml:space="preserve">TREND</t>
        </is>
      </c>
      <c r="L92">
        <f>INDEX(TREND(B1:B5,A1:A5,A1:A5),1,1)</f>
        <v>2</v>
      </c>
      <c r="M92" t="inlineStr">
        <is>
          <t xml:space="preserve">=INDEX(TREND(B1:B5,A1:A5,A1:A5),1,1)</t>
        </is>
      </c>
      <c r="N92" t="inlineStr">
        <is>
          <t xml:space="preserve">Statistical</t>
        </is>
      </c>
    </row>
    <row r="93">
      <c r="K93" t="b">
        <v>1</v>
      </c>
      <c r="L93">
        <f>TRUE()</f>
      </c>
      <c r="M93" t="inlineStr">
        <is>
          <t xml:space="preserve">=TRUE()</t>
        </is>
      </c>
      <c r="N93" t="inlineStr">
        <is>
          <t xml:space="preserve">Logical</t>
        </is>
      </c>
    </row>
    <row r="94">
      <c r="K94" t="inlineStr">
        <is>
          <t xml:space="preserve">TTEST</t>
        </is>
      </c>
      <c r="L94">
        <f>TTEST(A1:A5,B1:B5,2,2)</f>
        <v>0.3465935070873334</v>
      </c>
      <c r="M94" t="inlineStr">
        <is>
          <t xml:space="preserve">=TTEST(A1:A5,B1:B5,2,2)</t>
        </is>
      </c>
      <c r="N94" t="inlineStr">
        <is>
          <t xml:space="preserve">Statistical</t>
        </is>
      </c>
    </row>
    <row r="95">
      <c r="K95" t="inlineStr">
        <is>
          <t xml:space="preserve">VARA</t>
        </is>
      </c>
      <c r="L95">
        <f>VARA(1,2,TRUE)</f>
        <v>0.3333333333333333</v>
      </c>
      <c r="M95" t="inlineStr">
        <is>
          <t xml:space="preserve">=VARA(1,2,TRUE)</t>
        </is>
      </c>
      <c r="N95" t="inlineStr">
        <is>
          <t xml:space="preserve">Statistical</t>
        </is>
      </c>
    </row>
    <row r="96">
      <c r="K96" t="inlineStr">
        <is>
          <t xml:space="preserve">VARPA</t>
        </is>
      </c>
      <c r="L96">
        <f>VARPA(1,2,TRUE)</f>
        <v>0.2222222222222222</v>
      </c>
      <c r="M96" t="inlineStr">
        <is>
          <t xml:space="preserve">=VARPA(1,2,TRUE)</t>
        </is>
      </c>
      <c r="N96" t="inlineStr">
        <is>
          <t xml:space="preserve">Statistical</t>
        </is>
      </c>
    </row>
    <row r="97">
      <c r="K97" t="inlineStr">
        <is>
          <t xml:space="preserve">WEIBULL</t>
        </is>
      </c>
      <c r="L97">
        <f>WEIBULL(2,1,2,TRUE)</f>
        <v>0.6321205588285577</v>
      </c>
      <c r="M97" t="inlineStr">
        <is>
          <t xml:space="preserve">=WEIBULL(2,1,2,TRUE)</t>
        </is>
      </c>
      <c r="N97" t="inlineStr">
        <is>
          <t xml:space="preserve">Compatibility</t>
        </is>
      </c>
    </row>
    <row r="98">
      <c r="K98" t="inlineStr">
        <is>
          <t xml:space="preserve">YIELD</t>
        </is>
      </c>
      <c r="L98">
        <f>YIELD(45000,45600,0.05,99,100,2)</f>
        <v>0.055350662625494484</v>
      </c>
      <c r="M98" t="inlineStr">
        <is>
          <t xml:space="preserve">=YIELD(45000,45600,0.05,99,100,2)</t>
        </is>
      </c>
      <c r="N98" t="inlineStr">
        <is>
          <t xml:space="preserve">Financial</t>
        </is>
      </c>
    </row>
    <row r="99">
      <c r="K99" t="inlineStr">
        <is>
          <t xml:space="preserve">YIELDDISC</t>
        </is>
      </c>
      <c r="L99">
        <f>YIELDDISC(45000,45100,98,100)</f>
        <v>0.07448979591836744</v>
      </c>
      <c r="M99" t="inlineStr">
        <is>
          <t xml:space="preserve">=YIELDDISC(45000,45100,98,100)</t>
        </is>
      </c>
      <c r="N99" t="inlineStr">
        <is>
          <t xml:space="preserve">Financial</t>
        </is>
      </c>
    </row>
    <row r="100">
      <c r="K100" t="inlineStr">
        <is>
          <t xml:space="preserve">YIELDMAT</t>
        </is>
      </c>
      <c r="L100">
        <f>YIELDMAT(45000,45600,44800,0.04,99)</f>
        <v>0.06001683501683502</v>
      </c>
      <c r="M100" t="inlineStr">
        <is>
          <t xml:space="preserve">=YIELDMAT(45000,45600,44800,0.04,99)</t>
        </is>
      </c>
      <c r="N100" t="inlineStr">
        <is>
          <t xml:space="preserve">Financial</t>
        </is>
      </c>
    </row>
    <row r="101">
      <c r="K101" t="inlineStr">
        <is>
          <t xml:space="preserve">ZTEST</t>
        </is>
      </c>
      <c r="L101">
        <f>ZTEST(A1:A5,3)</f>
        <v>0.5</v>
      </c>
      <c r="M101" t="inlineStr">
        <is>
          <t xml:space="preserve">=ZTEST(A1:A5,3)</t>
        </is>
      </c>
      <c r="N101" t="inlineStr">
        <is>
          <t xml:space="preserve">Compatibility</t>
        </is>
      </c>
    </row>
  </sheetData>
</worksheet>
</file>