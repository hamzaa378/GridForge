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136 Functions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sz val="11"/>
      <name val="Calibri"/>
      <color theme="1"/>
    </font>
    <font>
      <sz val="11"/>
      <name val="Calibri"/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87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Fill="1" applyNumberFormat="1" applyAlignment="1"/>
    <xf numFmtId="0" fontId="1" fillId="2" borderId="0" xfId="0" applyFont="1" applyFill="1" applyNumberFormat="1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0" ySplit="1" topLeftCell="A2" state="frozen"/>
    </sheetView>
  </sheetViews>
  <sheetFormatPr defaultRowHeight="15"/>
  <sheetData>
    <row r="1">
      <c r="A1" s="1" t="inlineStr">
        <is>
          <t xml:space="preserve">Function</t>
        </is>
      </c>
      <c r="B1" s="1" t="inlineStr">
        <is>
          <t xml:space="preserve">Formula source</t>
        </is>
      </c>
      <c r="C1" s="1" t="inlineStr">
        <is>
          <t xml:space="preserve">Live GridForge result</t>
        </is>
      </c>
      <c r="D1" s="1" t="inlineStr">
        <is>
          <t xml:space="preserve">Category</t>
        </is>
      </c>
      <c r="AA1">
        <v>1</v>
      </c>
      <c r="AB1">
        <v>3</v>
      </c>
      <c r="AC1" t="inlineStr">
        <is>
          <t xml:space="preserve">North</t>
        </is>
      </c>
      <c r="AD1" t="inlineStr">
        <is>
          <t xml:space="preserve">k1</t>
        </is>
      </c>
      <c r="AE1">
        <v>10</v>
      </c>
      <c r="AH1" t="inlineStr">
        <is>
          <t xml:space="preserve">Q1</t>
        </is>
      </c>
      <c r="AI1" t="inlineStr">
        <is>
          <t xml:space="preserve">Q2</t>
        </is>
      </c>
      <c r="AJ1" t="inlineStr">
        <is>
          <t xml:space="preserve">Q3</t>
        </is>
      </c>
    </row>
    <row r="2">
      <c r="A2" t="inlineStr">
        <is>
          <t xml:space="preserve">SUMSQ</t>
        </is>
      </c>
      <c r="B2" t="inlineStr">
        <is>
          <t xml:space="preserve">=SUMSQ(1,2,3)</t>
        </is>
      </c>
      <c r="C2">
        <f>SUMSQ(1,2,3)</f>
        <v>14</v>
      </c>
      <c r="D2" t="inlineStr">
        <is>
          <t xml:space="preserve">Math</t>
        </is>
      </c>
      <c r="AA2">
        <v>2</v>
      </c>
      <c r="AB2">
        <v>5</v>
      </c>
      <c r="AC2" t="inlineStr">
        <is>
          <t xml:space="preserve">North</t>
        </is>
      </c>
      <c r="AD2" t="inlineStr">
        <is>
          <t xml:space="preserve">k2</t>
        </is>
      </c>
      <c r="AE2">
        <v>20</v>
      </c>
      <c r="AH2">
        <v>22</v>
      </c>
      <c r="AI2">
        <v>33</v>
      </c>
      <c r="AJ2">
        <v>44</v>
      </c>
    </row>
    <row r="3">
      <c r="A3" t="inlineStr">
        <is>
          <t xml:space="preserve">SUMPRODUCT</t>
        </is>
      </c>
      <c r="B3" t="inlineStr">
        <is>
          <t xml:space="preserve">=SUMPRODUCT(A1:A3,B1:B3)</t>
        </is>
      </c>
      <c r="C3">
        <f>SUMPRODUCT(AA1:AA3,AB1:AB3)</f>
        <v>34</v>
      </c>
      <c r="D3" t="inlineStr">
        <is>
          <t xml:space="preserve">Math</t>
        </is>
      </c>
      <c r="AA3">
        <v>3</v>
      </c>
      <c r="AB3">
        <v>7</v>
      </c>
      <c r="AC3" t="inlineStr">
        <is>
          <t xml:space="preserve">South</t>
        </is>
      </c>
      <c r="AD3" t="inlineStr">
        <is>
          <t xml:space="preserve">k3</t>
        </is>
      </c>
      <c r="AE3">
        <v>30</v>
      </c>
    </row>
    <row r="4">
      <c r="A4" t="inlineStr">
        <is>
          <t xml:space="preserve">QUOTIENT</t>
        </is>
      </c>
      <c r="B4" t="inlineStr">
        <is>
          <t xml:space="preserve">=QUOTIENT(-17,5)</t>
        </is>
      </c>
      <c r="C4">
        <f>QUOTIENT(-17,5)</f>
        <v>-3</v>
      </c>
      <c r="D4" t="inlineStr">
        <is>
          <t xml:space="preserve">Math</t>
        </is>
      </c>
      <c r="AA4">
        <v>4</v>
      </c>
      <c r="AB4">
        <v>9</v>
      </c>
      <c r="AC4" t="inlineStr">
        <is>
          <t xml:space="preserve">North</t>
        </is>
      </c>
    </row>
    <row r="5">
      <c r="A5" t="inlineStr">
        <is>
          <t xml:space="preserve">TRUNC</t>
        </is>
      </c>
      <c r="B5" t="inlineStr">
        <is>
          <t xml:space="preserve">=TRUNC(-3.987,2)</t>
        </is>
      </c>
      <c r="C5">
        <f>TRUNC(-3.987,2)</f>
        <v>-3.98</v>
      </c>
      <c r="D5" t="inlineStr">
        <is>
          <t xml:space="preserve">Math</t>
        </is>
      </c>
      <c r="AA5">
        <v>5</v>
      </c>
      <c r="AB5">
        <v>11</v>
      </c>
      <c r="AC5" t="inlineStr">
        <is>
          <t xml:space="preserve">South</t>
        </is>
      </c>
    </row>
    <row r="6">
      <c r="A6" t="inlineStr">
        <is>
          <t xml:space="preserve">EVEN</t>
        </is>
      </c>
      <c r="B6" t="inlineStr">
        <is>
          <t xml:space="preserve">=EVEN(-3)</t>
        </is>
      </c>
      <c r="C6">
        <f>EVEN(-3)</f>
        <v>-4</v>
      </c>
      <c r="D6" t="inlineStr">
        <is>
          <t xml:space="preserve">Math</t>
        </is>
      </c>
    </row>
    <row r="7">
      <c r="A7" t="inlineStr">
        <is>
          <t xml:space="preserve">ODD</t>
        </is>
      </c>
      <c r="B7" t="inlineStr">
        <is>
          <t xml:space="preserve">=ODD(-4)</t>
        </is>
      </c>
      <c r="C7">
        <f>ODD(-4)</f>
        <v>-5</v>
      </c>
      <c r="D7" t="inlineStr">
        <is>
          <t xml:space="preserve">Math</t>
        </is>
      </c>
    </row>
    <row r="8">
      <c r="A8" t="inlineStr">
        <is>
          <t xml:space="preserve">GCD</t>
        </is>
      </c>
      <c r="B8" t="inlineStr">
        <is>
          <t xml:space="preserve">=GCD(24,36)</t>
        </is>
      </c>
      <c r="C8">
        <f>GCD(24,36)</f>
        <v>12</v>
      </c>
      <c r="D8" t="inlineStr">
        <is>
          <t xml:space="preserve">Math</t>
        </is>
      </c>
    </row>
    <row r="9">
      <c r="A9" t="inlineStr">
        <is>
          <t xml:space="preserve">LCM</t>
        </is>
      </c>
      <c r="B9" t="inlineStr">
        <is>
          <t xml:space="preserve">=LCM(4,6)</t>
        </is>
      </c>
      <c r="C9">
        <f>LCM(4,6)</f>
        <v>12</v>
      </c>
      <c r="D9" t="inlineStr">
        <is>
          <t xml:space="preserve">Math</t>
        </is>
      </c>
    </row>
    <row r="10">
      <c r="A10" t="inlineStr">
        <is>
          <t xml:space="preserve">FACT</t>
        </is>
      </c>
      <c r="B10" t="inlineStr">
        <is>
          <t xml:space="preserve">=FACT(5)</t>
        </is>
      </c>
      <c r="C10">
        <f>FACT(5)</f>
        <v>120</v>
      </c>
      <c r="D10" t="inlineStr">
        <is>
          <t xml:space="preserve">Math</t>
        </is>
      </c>
    </row>
    <row r="11">
      <c r="A11" t="inlineStr">
        <is>
          <t xml:space="preserve">COMBIN</t>
        </is>
      </c>
      <c r="B11" t="inlineStr">
        <is>
          <t xml:space="preserve">=COMBIN(5,2)</t>
        </is>
      </c>
      <c r="C11">
        <f>COMBIN(5,2)</f>
        <v>10</v>
      </c>
      <c r="D11" t="inlineStr">
        <is>
          <t xml:space="preserve">Math</t>
        </is>
      </c>
    </row>
    <row r="12">
      <c r="A12" t="inlineStr">
        <is>
          <t xml:space="preserve">PERMUT</t>
        </is>
      </c>
      <c r="B12" t="inlineStr">
        <is>
          <t xml:space="preserve">=PERMUT(5,2)</t>
        </is>
      </c>
      <c r="C12">
        <f>PERMUT(5,2)</f>
        <v>20</v>
      </c>
      <c r="D12" t="inlineStr">
        <is>
          <t xml:space="preserve">Math</t>
        </is>
      </c>
    </row>
    <row r="13">
      <c r="A13" t="inlineStr">
        <is>
          <t xml:space="preserve">RADIANS</t>
        </is>
      </c>
      <c r="B13" t="inlineStr">
        <is>
          <t xml:space="preserve">=RADIANS(180)</t>
        </is>
      </c>
      <c r="C13">
        <f>RADIANS(180)</f>
        <v>3.141592653589793</v>
      </c>
      <c r="D13" t="inlineStr">
        <is>
          <t xml:space="preserve">Math</t>
        </is>
      </c>
    </row>
    <row r="14">
      <c r="A14" t="inlineStr">
        <is>
          <t xml:space="preserve">DEGREES</t>
        </is>
      </c>
      <c r="B14" t="inlineStr">
        <is>
          <t xml:space="preserve">=DEGREES(PI())</t>
        </is>
      </c>
      <c r="C14">
        <f>DEGREES(PI())</f>
        <v>180</v>
      </c>
      <c r="D14" t="inlineStr">
        <is>
          <t xml:space="preserve">Math</t>
        </is>
      </c>
    </row>
    <row r="15">
      <c r="A15" t="inlineStr">
        <is>
          <t xml:space="preserve">SIN</t>
        </is>
      </c>
      <c r="B15" t="inlineStr">
        <is>
          <t xml:space="preserve">=SIN(PI()/2)</t>
        </is>
      </c>
      <c r="C15">
        <f>SIN(PI()/2)</f>
        <v>1</v>
      </c>
      <c r="D15" t="inlineStr">
        <is>
          <t xml:space="preserve">Math</t>
        </is>
      </c>
    </row>
    <row r="16">
      <c r="A16" t="inlineStr">
        <is>
          <t xml:space="preserve">COS</t>
        </is>
      </c>
      <c r="B16" t="inlineStr">
        <is>
          <t xml:space="preserve">=COS(0)</t>
        </is>
      </c>
      <c r="C16">
        <f>COS(0)</f>
        <v>1</v>
      </c>
      <c r="D16" t="inlineStr">
        <is>
          <t xml:space="preserve">Math</t>
        </is>
      </c>
    </row>
    <row r="17">
      <c r="A17" t="inlineStr">
        <is>
          <t xml:space="preserve">TAN</t>
        </is>
      </c>
      <c r="B17" t="inlineStr">
        <is>
          <t xml:space="preserve">=TAN(0)</t>
        </is>
      </c>
      <c r="C17">
        <f>TAN(0)</f>
        <v>0</v>
      </c>
      <c r="D17" t="inlineStr">
        <is>
          <t xml:space="preserve">Math</t>
        </is>
      </c>
    </row>
    <row r="18">
      <c r="A18" t="inlineStr">
        <is>
          <t xml:space="preserve">ASIN</t>
        </is>
      </c>
      <c r="B18" t="inlineStr">
        <is>
          <t xml:space="preserve">=ASIN(1)</t>
        </is>
      </c>
      <c r="C18">
        <f>ASIN(1)</f>
        <v>1.5707963267948966</v>
      </c>
      <c r="D18" t="inlineStr">
        <is>
          <t xml:space="preserve">Math</t>
        </is>
      </c>
    </row>
    <row r="19">
      <c r="A19" t="inlineStr">
        <is>
          <t xml:space="preserve">ACOS</t>
        </is>
      </c>
      <c r="B19" t="inlineStr">
        <is>
          <t xml:space="preserve">=ACOS(1)</t>
        </is>
      </c>
      <c r="C19">
        <f>ACOS(1)</f>
        <v>0</v>
      </c>
      <c r="D19" t="inlineStr">
        <is>
          <t xml:space="preserve">Math</t>
        </is>
      </c>
    </row>
    <row r="20">
      <c r="A20" t="inlineStr">
        <is>
          <t xml:space="preserve">ATAN</t>
        </is>
      </c>
      <c r="B20" t="inlineStr">
        <is>
          <t xml:space="preserve">=ATAN(1)</t>
        </is>
      </c>
      <c r="C20">
        <f>ATAN(1)</f>
        <v>0.7853981633974483</v>
      </c>
      <c r="D20" t="inlineStr">
        <is>
          <t xml:space="preserve">Math</t>
        </is>
      </c>
    </row>
    <row r="21">
      <c r="A21" t="inlineStr">
        <is>
          <t xml:space="preserve">ATAN2</t>
        </is>
      </c>
      <c r="B21" t="inlineStr">
        <is>
          <t xml:space="preserve">=ATAN2(1,1)</t>
        </is>
      </c>
      <c r="C21">
        <f>ATAN2(1,1)</f>
        <v>0.7853981633974483</v>
      </c>
      <c r="D21" t="inlineStr">
        <is>
          <t xml:space="preserve">Math</t>
        </is>
      </c>
    </row>
    <row r="22">
      <c r="A22" t="inlineStr">
        <is>
          <t xml:space="preserve">SINH</t>
        </is>
      </c>
      <c r="B22" t="inlineStr">
        <is>
          <t xml:space="preserve">=SINH(0)</t>
        </is>
      </c>
      <c r="C22">
        <f>SINH(0)</f>
        <v>0</v>
      </c>
      <c r="D22" t="inlineStr">
        <is>
          <t xml:space="preserve">Math</t>
        </is>
      </c>
    </row>
    <row r="23">
      <c r="A23" t="inlineStr">
        <is>
          <t xml:space="preserve">COSH</t>
        </is>
      </c>
      <c r="B23" t="inlineStr">
        <is>
          <t xml:space="preserve">=COSH(0)</t>
        </is>
      </c>
      <c r="C23">
        <f>COSH(0)</f>
        <v>1</v>
      </c>
      <c r="D23" t="inlineStr">
        <is>
          <t xml:space="preserve">Math</t>
        </is>
      </c>
    </row>
    <row r="24">
      <c r="A24" t="inlineStr">
        <is>
          <t xml:space="preserve">TANH</t>
        </is>
      </c>
      <c r="B24" t="inlineStr">
        <is>
          <t xml:space="preserve">=TANH(0)</t>
        </is>
      </c>
      <c r="C24">
        <f>TANH(0)</f>
        <v>0</v>
      </c>
      <c r="D24" t="inlineStr">
        <is>
          <t xml:space="preserve">Math</t>
        </is>
      </c>
    </row>
    <row r="25">
      <c r="A25" t="inlineStr">
        <is>
          <t xml:space="preserve">LOG10</t>
        </is>
      </c>
      <c r="B25" t="inlineStr">
        <is>
          <t xml:space="preserve">=LOG10(1000)</t>
        </is>
      </c>
      <c r="C25">
        <f>LOG10(1000)</f>
        <v>3</v>
      </c>
      <c r="D25" t="inlineStr">
        <is>
          <t xml:space="preserve">Math</t>
        </is>
      </c>
    </row>
    <row r="26">
      <c r="A26" t="inlineStr">
        <is>
          <t xml:space="preserve">GEOMEAN</t>
        </is>
      </c>
      <c r="B26" t="inlineStr">
        <is>
          <t xml:space="preserve">=GEOMEAN(1,4,16)</t>
        </is>
      </c>
      <c r="C26">
        <f>GEOMEAN(1,4,16)</f>
        <v>4</v>
      </c>
      <c r="D26" t="inlineStr">
        <is>
          <t xml:space="preserve">Statistics</t>
        </is>
      </c>
    </row>
    <row r="27">
      <c r="A27" t="inlineStr">
        <is>
          <t xml:space="preserve">HARMEAN</t>
        </is>
      </c>
      <c r="B27" t="inlineStr">
        <is>
          <t xml:space="preserve">=HARMEAN(1,2,4)</t>
        </is>
      </c>
      <c r="C27">
        <f>HARMEAN(1,2,4)</f>
        <v>1.7142857142857142</v>
      </c>
      <c r="D27" t="inlineStr">
        <is>
          <t xml:space="preserve">Statistics</t>
        </is>
      </c>
    </row>
    <row r="28">
      <c r="A28" t="inlineStr">
        <is>
          <t xml:space="preserve">STDEVP</t>
        </is>
      </c>
      <c r="B28" t="inlineStr">
        <is>
          <t xml:space="preserve">=STDEVP(2,4,6)</t>
        </is>
      </c>
      <c r="C28">
        <f>STDEVP(2,4,6)</f>
        <v>1.632993161855452</v>
      </c>
      <c r="D28" t="inlineStr">
        <is>
          <t xml:space="preserve">Statistics</t>
        </is>
      </c>
    </row>
    <row r="29">
      <c r="A29" t="inlineStr">
        <is>
          <t xml:space="preserve">VARP</t>
        </is>
      </c>
      <c r="B29" t="inlineStr">
        <is>
          <t xml:space="preserve">=VARP(2,4,6)</t>
        </is>
      </c>
      <c r="C29">
        <f>VARP(2,4,6)</f>
        <v>2.6666666666666665</v>
      </c>
      <c r="D29" t="inlineStr">
        <is>
          <t xml:space="preserve">Statistics</t>
        </is>
      </c>
    </row>
    <row r="30">
      <c r="A30" t="inlineStr">
        <is>
          <t xml:space="preserve">DEVSQ</t>
        </is>
      </c>
      <c r="B30" t="inlineStr">
        <is>
          <t xml:space="preserve">=DEVSQ(2,4,6)</t>
        </is>
      </c>
      <c r="C30">
        <f>DEVSQ(2,4,6)</f>
        <v>8</v>
      </c>
      <c r="D30" t="inlineStr">
        <is>
          <t xml:space="preserve">Statistics</t>
        </is>
      </c>
    </row>
    <row r="31">
      <c r="A31" t="inlineStr">
        <is>
          <t xml:space="preserve">AVEDEV</t>
        </is>
      </c>
      <c r="B31" t="inlineStr">
        <is>
          <t xml:space="preserve">=AVEDEV(2,4,6)</t>
        </is>
      </c>
      <c r="C31">
        <f>AVEDEV(2,4,6)</f>
        <v>1.3333333333333333</v>
      </c>
      <c r="D31" t="inlineStr">
        <is>
          <t xml:space="preserve">Statistics</t>
        </is>
      </c>
    </row>
    <row r="32">
      <c r="A32" t="inlineStr">
        <is>
          <t xml:space="preserve">MODE</t>
        </is>
      </c>
      <c r="B32" t="inlineStr">
        <is>
          <t xml:space="preserve">=MODE(1,2,2,3)</t>
        </is>
      </c>
      <c r="C32">
        <f>MODE(1,2,2,3)</f>
        <v>2</v>
      </c>
      <c r="D32" t="inlineStr">
        <is>
          <t xml:space="preserve">Statistics</t>
        </is>
      </c>
    </row>
    <row r="33">
      <c r="A33" t="inlineStr">
        <is>
          <t xml:space="preserve">PERCENTILE</t>
        </is>
      </c>
      <c r="B33" t="inlineStr">
        <is>
          <t xml:space="preserve">=PERCENTILE(A1:A5,0.25)</t>
        </is>
      </c>
      <c r="C33">
        <f>PERCENTILE(AA1:AA5,0.25)</f>
        <v>2</v>
      </c>
      <c r="D33" t="inlineStr">
        <is>
          <t xml:space="preserve">Statistics</t>
        </is>
      </c>
    </row>
    <row r="34">
      <c r="A34" t="inlineStr">
        <is>
          <t xml:space="preserve">QUARTILE</t>
        </is>
      </c>
      <c r="B34" t="inlineStr">
        <is>
          <t xml:space="preserve">=QUARTILE(A1:A5,3)</t>
        </is>
      </c>
      <c r="C34">
        <f>QUARTILE(AA1:AA5,3)</f>
        <v>4</v>
      </c>
      <c r="D34" t="inlineStr">
        <is>
          <t xml:space="preserve">Statistics</t>
        </is>
      </c>
    </row>
    <row r="35">
      <c r="A35" t="inlineStr">
        <is>
          <t xml:space="preserve">RANK</t>
        </is>
      </c>
      <c r="B35" t="inlineStr">
        <is>
          <t xml:space="preserve">=RANK(4,A1:A5)</t>
        </is>
      </c>
      <c r="C35">
        <f>RANK(4,AA1:AA5)</f>
        <v>2</v>
      </c>
      <c r="D35" t="inlineStr">
        <is>
          <t xml:space="preserve">Statistics</t>
        </is>
      </c>
    </row>
    <row r="36">
      <c r="A36" t="inlineStr">
        <is>
          <t xml:space="preserve">CORREL</t>
        </is>
      </c>
      <c r="B36" t="inlineStr">
        <is>
          <t xml:space="preserve">=CORREL(A1:A5,B1:B5)</t>
        </is>
      </c>
      <c r="C36">
        <f>CORREL(AA1:AA5,AB1:AB5)</f>
        <v>1</v>
      </c>
      <c r="D36" t="inlineStr">
        <is>
          <t xml:space="preserve">Statistics</t>
        </is>
      </c>
    </row>
    <row r="37">
      <c r="A37" t="inlineStr">
        <is>
          <t xml:space="preserve">RSQ</t>
        </is>
      </c>
      <c r="B37" t="inlineStr">
        <is>
          <t xml:space="preserve">=RSQ(A1:A5,B1:B5)</t>
        </is>
      </c>
      <c r="C37">
        <f>RSQ(AA1:AA5,AB1:AB5)</f>
        <v>1</v>
      </c>
      <c r="D37" t="inlineStr">
        <is>
          <t xml:space="preserve">Statistics</t>
        </is>
      </c>
    </row>
    <row r="38">
      <c r="A38" t="inlineStr">
        <is>
          <t xml:space="preserve">SLOPE</t>
        </is>
      </c>
      <c r="B38" t="inlineStr">
        <is>
          <t xml:space="preserve">=SLOPE(B1:B5,A1:A5)</t>
        </is>
      </c>
      <c r="C38">
        <f>SLOPE(AB1:AB5,AA1:AA5)</f>
        <v>2</v>
      </c>
      <c r="D38" t="inlineStr">
        <is>
          <t xml:space="preserve">Statistics</t>
        </is>
      </c>
    </row>
    <row r="39">
      <c r="A39" t="inlineStr">
        <is>
          <t xml:space="preserve">INTERCEPT</t>
        </is>
      </c>
      <c r="B39" t="inlineStr">
        <is>
          <t xml:space="preserve">=INTERCEPT(B1:B5,A1:A5)</t>
        </is>
      </c>
      <c r="C39">
        <f>INTERCEPT(AB1:AB5,AA1:AA5)</f>
        <v>1</v>
      </c>
      <c r="D39" t="inlineStr">
        <is>
          <t xml:space="preserve">Statistics</t>
        </is>
      </c>
    </row>
    <row r="40">
      <c r="A40" t="inlineStr">
        <is>
          <t xml:space="preserve">FORECAST</t>
        </is>
      </c>
      <c r="B40" t="inlineStr">
        <is>
          <t xml:space="preserve">=FORECAST(7,B1:B5,A1:A5)</t>
        </is>
      </c>
      <c r="C40">
        <f>FORECAST(7,AB1:AB5,AA1:AA5)</f>
        <v>15</v>
      </c>
      <c r="D40" t="inlineStr">
        <is>
          <t xml:space="preserve">Statistics</t>
        </is>
      </c>
    </row>
    <row r="41">
      <c r="A41" t="inlineStr">
        <is>
          <t xml:space="preserve">PERCENTRANK</t>
        </is>
      </c>
      <c r="B41" t="inlineStr">
        <is>
          <t xml:space="preserve">=PERCENTRANK(A1:A5,3)</t>
        </is>
      </c>
      <c r="C41">
        <f>PERCENTRANK(AA1:AA5,3)</f>
        <v>0.5</v>
      </c>
      <c r="D41" t="inlineStr">
        <is>
          <t xml:space="preserve">Statistics</t>
        </is>
      </c>
    </row>
    <row r="42">
      <c r="A42" t="inlineStr">
        <is>
          <t xml:space="preserve">PROPER</t>
        </is>
      </c>
      <c r="B42" t="inlineStr">
        <is>
          <t xml:space="preserve">=PROPER("heLLo woRLD")</t>
        </is>
      </c>
      <c r="C42">
        <f>PROPER("heLLo woRLD")</f>
      </c>
      <c r="D42" t="inlineStr">
        <is>
          <t xml:space="preserve">Text</t>
        </is>
      </c>
    </row>
    <row r="43">
      <c r="A43" t="inlineStr">
        <is>
          <t xml:space="preserve">REPT</t>
        </is>
      </c>
      <c r="B43" t="inlineStr">
        <is>
          <t xml:space="preserve">=REPT("xy",3)</t>
        </is>
      </c>
      <c r="C43">
        <f>REPT("xy",3)</f>
      </c>
      <c r="D43" t="inlineStr">
        <is>
          <t xml:space="preserve">Text</t>
        </is>
      </c>
    </row>
    <row r="44">
      <c r="A44" t="inlineStr">
        <is>
          <t xml:space="preserve">CLEAN</t>
        </is>
      </c>
      <c r="B44" t="inlineStr">
        <is>
          <t xml:space="preserve">=CLEAN("a"&amp;CHAR(10)&amp;"b")</t>
        </is>
      </c>
      <c r="C44">
        <f>CLEAN("a"&amp;CHAR(10)&amp;"b")</f>
      </c>
      <c r="D44" t="inlineStr">
        <is>
          <t xml:space="preserve">Text</t>
        </is>
      </c>
    </row>
    <row r="45">
      <c r="A45" t="inlineStr">
        <is>
          <t xml:space="preserve">TEXTJOIN</t>
        </is>
      </c>
      <c r="B45" t="inlineStr">
        <is>
          <t xml:space="preserve">=TEXTJOIN("|",TRUE,D1:D3)</t>
        </is>
      </c>
      <c r="C45">
        <f>_xlfn.TEXTJOIN("|",TRUE,AD1:AD3)</f>
      </c>
      <c r="D45" t="inlineStr">
        <is>
          <t xml:space="preserve">Text</t>
        </is>
      </c>
    </row>
    <row r="46">
      <c r="A46" t="inlineStr">
        <is>
          <t xml:space="preserve">CONCATENATE</t>
        </is>
      </c>
      <c r="B46" t="inlineStr">
        <is>
          <t xml:space="preserve">=CONCATENATE("ab","cd")</t>
        </is>
      </c>
      <c r="C46">
        <f>CONCATENATE("ab","cd")</f>
      </c>
      <c r="D46" t="inlineStr">
        <is>
          <t xml:space="preserve">Text</t>
        </is>
      </c>
    </row>
    <row r="47">
      <c r="A47" t="inlineStr">
        <is>
          <t xml:space="preserve">CODE</t>
        </is>
      </c>
      <c r="B47" t="inlineStr">
        <is>
          <t xml:space="preserve">=CODE("A")</t>
        </is>
      </c>
      <c r="C47">
        <f>CODE("A")</f>
        <v>65</v>
      </c>
      <c r="D47" t="inlineStr">
        <is>
          <t xml:space="preserve">Text</t>
        </is>
      </c>
    </row>
    <row r="48">
      <c r="A48" t="inlineStr">
        <is>
          <t xml:space="preserve">CHAR</t>
        </is>
      </c>
      <c r="B48" t="inlineStr">
        <is>
          <t xml:space="preserve">=CHAR(65)</t>
        </is>
      </c>
      <c r="C48">
        <f>CHAR(65)</f>
      </c>
      <c r="D48" t="inlineStr">
        <is>
          <t xml:space="preserve">Text</t>
        </is>
      </c>
    </row>
    <row r="49">
      <c r="A49" t="inlineStr">
        <is>
          <t xml:space="preserve">UNICODE</t>
        </is>
      </c>
      <c r="B49" t="inlineStr">
        <is>
          <t xml:space="preserve">=UNICODE("★")</t>
        </is>
      </c>
      <c r="C49">
        <f>UNICODE("★")</f>
        <v>9733</v>
      </c>
      <c r="D49" t="inlineStr">
        <is>
          <t xml:space="preserve">Text</t>
        </is>
      </c>
    </row>
    <row r="50">
      <c r="A50" t="inlineStr">
        <is>
          <t xml:space="preserve">UNICHAR</t>
        </is>
      </c>
      <c r="B50" t="inlineStr">
        <is>
          <t xml:space="preserve">=UNICHAR(9733)</t>
        </is>
      </c>
      <c r="C50">
        <f>UNICHAR(9733)</f>
      </c>
      <c r="D50" t="inlineStr">
        <is>
          <t xml:space="preserve">Text</t>
        </is>
      </c>
    </row>
    <row r="51">
      <c r="A51" t="inlineStr">
        <is>
          <t xml:space="preserve">NUMBERVALUE</t>
        </is>
      </c>
      <c r="B51" t="inlineStr">
        <is>
          <t xml:space="preserve">=NUMBERVALUE("1.234,5",",",".")</t>
        </is>
      </c>
      <c r="C51">
        <f>NUMBERVALUE("1.234,5",",",".")</f>
        <v>1234.5</v>
      </c>
      <c r="D51" t="inlineStr">
        <is>
          <t xml:space="preserve">Text</t>
        </is>
      </c>
    </row>
    <row r="52">
      <c r="A52" t="inlineStr">
        <is>
          <t xml:space="preserve">TEXTBEFORE</t>
        </is>
      </c>
      <c r="B52" t="inlineStr">
        <is>
          <t xml:space="preserve">=TEXTBEFORE("one-two-three","-",2)</t>
        </is>
      </c>
      <c r="C52">
        <f>_xlfn.TEXTBEFORE("one-two-three","-",2)</f>
      </c>
      <c r="D52" t="inlineStr">
        <is>
          <t xml:space="preserve">Text</t>
        </is>
      </c>
    </row>
    <row r="53">
      <c r="A53" t="inlineStr">
        <is>
          <t xml:space="preserve">TEXTAFTER</t>
        </is>
      </c>
      <c r="B53" t="inlineStr">
        <is>
          <t xml:space="preserve">=TEXTAFTER("one-two-three","-",2)</t>
        </is>
      </c>
      <c r="C53">
        <f>_xlfn.TEXTAFTER("one-two-three","-",2)</f>
      </c>
      <c r="D53" t="inlineStr">
        <is>
          <t xml:space="preserve">Text</t>
        </is>
      </c>
    </row>
    <row r="54">
      <c r="A54" t="inlineStr">
        <is>
          <t xml:space="preserve">DATE</t>
        </is>
      </c>
      <c r="B54" t="inlineStr">
        <is>
          <t xml:space="preserve">=DATE(2026,10,20)</t>
        </is>
      </c>
      <c r="C54">
        <f>DATE(2026,10,20)</f>
        <v>46315</v>
      </c>
      <c r="D54" t="inlineStr">
        <is>
          <t xml:space="preserve">Dates and time</t>
        </is>
      </c>
    </row>
    <row r="55">
      <c r="A55" t="inlineStr">
        <is>
          <t xml:space="preserve">YEAR</t>
        </is>
      </c>
      <c r="B55" t="inlineStr">
        <is>
          <t xml:space="preserve">=YEAR(DATE(2026,10,20))</t>
        </is>
      </c>
      <c r="C55">
        <f>YEAR(DATE(2026,10,20))</f>
        <v>2026</v>
      </c>
      <c r="D55" t="inlineStr">
        <is>
          <t xml:space="preserve">Dates and time</t>
        </is>
      </c>
    </row>
    <row r="56">
      <c r="A56" t="inlineStr">
        <is>
          <t xml:space="preserve">MONTH</t>
        </is>
      </c>
      <c r="B56" t="inlineStr">
        <is>
          <t xml:space="preserve">=MONTH(DATE(2026,10,20))</t>
        </is>
      </c>
      <c r="C56">
        <f>MONTH(DATE(2026,10,20))</f>
        <v>10</v>
      </c>
      <c r="D56" t="inlineStr">
        <is>
          <t xml:space="preserve">Dates and time</t>
        </is>
      </c>
    </row>
    <row r="57">
      <c r="A57" t="inlineStr">
        <is>
          <t xml:space="preserve">DAY</t>
        </is>
      </c>
      <c r="B57" t="inlineStr">
        <is>
          <t xml:space="preserve">=DAY(DATE(2026,10,20))</t>
        </is>
      </c>
      <c r="C57">
        <f>DAY(DATE(2026,10,20))</f>
        <v>20</v>
      </c>
      <c r="D57" t="inlineStr">
        <is>
          <t xml:space="preserve">Dates and time</t>
        </is>
      </c>
    </row>
    <row r="58">
      <c r="A58" t="inlineStr">
        <is>
          <t xml:space="preserve">TODAY</t>
        </is>
      </c>
      <c r="B58" t="inlineStr">
        <is>
          <t xml:space="preserve">=TODAY()</t>
        </is>
      </c>
      <c r="C58">
        <f>TODAY()</f>
        <v>46315</v>
      </c>
      <c r="D58" t="inlineStr">
        <is>
          <t xml:space="preserve">Dates and time</t>
        </is>
      </c>
    </row>
    <row r="59">
      <c r="A59" t="inlineStr">
        <is>
          <t xml:space="preserve">NOW</t>
        </is>
      </c>
      <c r="B59" t="inlineStr">
        <is>
          <t xml:space="preserve">=NOW()</t>
        </is>
      </c>
      <c r="C59">
        <f>NOW()</f>
        <v>46315.75302809028</v>
      </c>
      <c r="D59" t="inlineStr">
        <is>
          <t xml:space="preserve">Dates and time</t>
        </is>
      </c>
    </row>
    <row r="60">
      <c r="A60" t="inlineStr">
        <is>
          <t xml:space="preserve">TIME</t>
        </is>
      </c>
      <c r="B60" t="inlineStr">
        <is>
          <t xml:space="preserve">=TIME(14,30,45)</t>
        </is>
      </c>
      <c r="C60">
        <f>TIME(14,30,45)</f>
        <v>0.6046875</v>
      </c>
      <c r="D60" t="inlineStr">
        <is>
          <t xml:space="preserve">Dates and time</t>
        </is>
      </c>
    </row>
    <row r="61">
      <c r="A61" t="inlineStr">
        <is>
          <t xml:space="preserve">HOUR</t>
        </is>
      </c>
      <c r="B61" t="inlineStr">
        <is>
          <t xml:space="preserve">=HOUR(TIME(14,30,0))</t>
        </is>
      </c>
      <c r="C61">
        <f>HOUR(TIME(14,30,0))</f>
        <v>14</v>
      </c>
      <c r="D61" t="inlineStr">
        <is>
          <t xml:space="preserve">Dates and time</t>
        </is>
      </c>
    </row>
    <row r="62">
      <c r="A62" t="inlineStr">
        <is>
          <t xml:space="preserve">MINUTE</t>
        </is>
      </c>
      <c r="B62" t="inlineStr">
        <is>
          <t xml:space="preserve">=MINUTE(TIME(14,30,0))</t>
        </is>
      </c>
      <c r="C62">
        <f>MINUTE(TIME(14,30,0))</f>
        <v>30</v>
      </c>
      <c r="D62" t="inlineStr">
        <is>
          <t xml:space="preserve">Dates and time</t>
        </is>
      </c>
    </row>
    <row r="63">
      <c r="A63" t="inlineStr">
        <is>
          <t xml:space="preserve">SECOND</t>
        </is>
      </c>
      <c r="B63" t="inlineStr">
        <is>
          <t xml:space="preserve">=SECOND(TIME(14,30,45))</t>
        </is>
      </c>
      <c r="C63">
        <f>SECOND(TIME(14,30,45))</f>
        <v>45</v>
      </c>
      <c r="D63" t="inlineStr">
        <is>
          <t xml:space="preserve">Dates and time</t>
        </is>
      </c>
    </row>
    <row r="64">
      <c r="A64" t="inlineStr">
        <is>
          <t xml:space="preserve">DAYS</t>
        </is>
      </c>
      <c r="B64" t="inlineStr">
        <is>
          <t xml:space="preserve">=DAYS(DATE(2026,10,20),DATE(2026,10,10))</t>
        </is>
      </c>
      <c r="C64">
        <f>DAYS(DATE(2026,10,20),DATE(2026,10,10))</f>
        <v>10</v>
      </c>
      <c r="D64" t="inlineStr">
        <is>
          <t xml:space="preserve">Dates and time</t>
        </is>
      </c>
    </row>
    <row r="65">
      <c r="A65" t="inlineStr">
        <is>
          <t xml:space="preserve">EDATE</t>
        </is>
      </c>
      <c r="B65" t="inlineStr">
        <is>
          <t xml:space="preserve">=DAY(EDATE(DATE(2026,1,31),1))</t>
        </is>
      </c>
      <c r="C65">
        <f>DAY(EDATE(DATE(2026,1,31),1))</f>
        <v>28</v>
      </c>
      <c r="D65" t="inlineStr">
        <is>
          <t xml:space="preserve">Dates and time</t>
        </is>
      </c>
    </row>
    <row r="66">
      <c r="A66" t="inlineStr">
        <is>
          <t xml:space="preserve">EOMONTH</t>
        </is>
      </c>
      <c r="B66" t="inlineStr">
        <is>
          <t xml:space="preserve">=DAY(EOMONTH(DATE(2026,2,3),0))</t>
        </is>
      </c>
      <c r="C66">
        <f>DAY(EOMONTH(DATE(2026,2,3),0))</f>
        <v>28</v>
      </c>
      <c r="D66" t="inlineStr">
        <is>
          <t xml:space="preserve">Dates and time</t>
        </is>
      </c>
    </row>
    <row r="67">
      <c r="A67" t="inlineStr">
        <is>
          <t xml:space="preserve">WEEKDAY</t>
        </is>
      </c>
      <c r="B67" t="inlineStr">
        <is>
          <t xml:space="preserve">=WEEKDAY(DATE(2026,10,20),2)</t>
        </is>
      </c>
      <c r="C67">
        <f>WEEKDAY(DATE(2026,10,20),2)</f>
        <v>2</v>
      </c>
      <c r="D67" t="inlineStr">
        <is>
          <t xml:space="preserve">Dates and time</t>
        </is>
      </c>
    </row>
    <row r="68">
      <c r="A68" t="inlineStr">
        <is>
          <t xml:space="preserve">NETWORKDAYS</t>
        </is>
      </c>
      <c r="B68" t="inlineStr">
        <is>
          <t xml:space="preserve">=NETWORKDAYS(DATE(2026,10,19),DATE(2026,10,23))</t>
        </is>
      </c>
      <c r="C68">
        <f>NETWORKDAYS(DATE(2026,10,19),DATE(2026,10,23))</f>
        <v>5</v>
      </c>
      <c r="D68" t="inlineStr">
        <is>
          <t xml:space="preserve">Dates and time</t>
        </is>
      </c>
    </row>
    <row r="69">
      <c r="A69" t="inlineStr">
        <is>
          <t xml:space="preserve">WORKDAY</t>
        </is>
      </c>
      <c r="B69" t="inlineStr">
        <is>
          <t xml:space="preserve">=DAY(WORKDAY(DATE(2026,10,19),5))</t>
        </is>
      </c>
      <c r="C69">
        <f>DAY(WORKDAY(DATE(2026,10,19),5))</f>
        <v>26</v>
      </c>
      <c r="D69" t="inlineStr">
        <is>
          <t xml:space="preserve">Dates and time</t>
        </is>
      </c>
    </row>
    <row r="70">
      <c r="A70" t="inlineStr">
        <is>
          <t xml:space="preserve">XOR</t>
        </is>
      </c>
      <c r="B70" t="inlineStr">
        <is>
          <t xml:space="preserve">=XOR(TRUE,FALSE,FALSE)</t>
        </is>
      </c>
      <c r="C70">
        <f>XOR(TRUE,FALSE,FALSE)</f>
      </c>
      <c r="D70" t="inlineStr">
        <is>
          <t xml:space="preserve">Logic and lookup</t>
        </is>
      </c>
    </row>
    <row r="71">
      <c r="A71" t="inlineStr">
        <is>
          <t xml:space="preserve">IFS</t>
        </is>
      </c>
      <c r="B71" t="inlineStr">
        <is>
          <t xml:space="preserve">=IFS(FALSE,1/0,TRUE,42)</t>
        </is>
      </c>
      <c r="C71">
        <f>_xlfn.IFS(FALSE,1/0,TRUE,42)</f>
        <v>42</v>
      </c>
      <c r="D71" t="inlineStr">
        <is>
          <t xml:space="preserve">Logic and lookup</t>
        </is>
      </c>
    </row>
    <row r="72">
      <c r="A72" t="inlineStr">
        <is>
          <t xml:space="preserve">SWITCH</t>
        </is>
      </c>
      <c r="B72" t="inlineStr">
        <is>
          <t xml:space="preserve">=SWITCH(2,1,1/0,2,99,0)</t>
        </is>
      </c>
      <c r="C72">
        <f>_xlfn.SWITCH(2,1,1/0,2,99,0)</f>
        <v>99</v>
      </c>
      <c r="D72" t="inlineStr">
        <is>
          <t xml:space="preserve">Logic and lookup</t>
        </is>
      </c>
    </row>
    <row r="73">
      <c r="A73" t="inlineStr">
        <is>
          <t xml:space="preserve">SUMIFS</t>
        </is>
      </c>
      <c r="B73" t="inlineStr">
        <is>
          <t xml:space="preserve">=SUMIFS(B1:B5,C1:C5,"North",A1:A5,"&gt;2")</t>
        </is>
      </c>
      <c r="C73">
        <f>SUMIFS(AB1:AB5,AC1:AC5,"North",AA1:AA5,"&gt;2")</f>
        <v>9</v>
      </c>
      <c r="D73" t="inlineStr">
        <is>
          <t xml:space="preserve">Logic and lookup</t>
        </is>
      </c>
    </row>
    <row r="74">
      <c r="A74" t="inlineStr">
        <is>
          <t xml:space="preserve">COUNTIFS</t>
        </is>
      </c>
      <c r="B74" t="inlineStr">
        <is>
          <t xml:space="preserve">=COUNTIFS(C1:C5,"North",A1:A5,"&gt;2")</t>
        </is>
      </c>
      <c r="C74">
        <f>COUNTIFS(AC1:AC5,"North",AA1:AA5,"&gt;2")</f>
        <v>1</v>
      </c>
      <c r="D74" t="inlineStr">
        <is>
          <t xml:space="preserve">Logic and lookup</t>
        </is>
      </c>
    </row>
    <row r="75">
      <c r="A75" t="inlineStr">
        <is>
          <t xml:space="preserve">AVERAGEIFS</t>
        </is>
      </c>
      <c r="B75" t="inlineStr">
        <is>
          <t xml:space="preserve">=AVERAGEIFS(B1:B5,C1:C5,"North")</t>
        </is>
      </c>
      <c r="C75">
        <f>AVERAGEIFS(AB1:AB5,AC1:AC5,"North")</f>
        <v>5.666666666666667</v>
      </c>
      <c r="D75" t="inlineStr">
        <is>
          <t xml:space="preserve">Logic and lookup</t>
        </is>
      </c>
    </row>
    <row r="76">
      <c r="A76" t="inlineStr">
        <is>
          <t xml:space="preserve">XLOOKUP</t>
        </is>
      </c>
      <c r="B76" t="inlineStr">
        <is>
          <t xml:space="preserve">=XLOOKUP("k2",D1:D3,E1:E3,"missing")</t>
        </is>
      </c>
      <c r="C76">
        <f>_xlfn.XLOOKUP("k2",AD1:AD3,AE1:AE3,"missing")</f>
        <v>20</v>
      </c>
      <c r="D76" t="inlineStr">
        <is>
          <t xml:space="preserve">Logic and lookup</t>
        </is>
      </c>
    </row>
    <row r="77">
      <c r="A77" t="inlineStr">
        <is>
          <t xml:space="preserve">HLOOKUP</t>
        </is>
      </c>
      <c r="B77" t="inlineStr">
        <is>
          <t xml:space="preserve">=HLOOKUP("Q2",H1:J2,2,FALSE)</t>
        </is>
      </c>
      <c r="C77">
        <f>HLOOKUP("Q2",AH1:AJ2,2,FALSE)</f>
        <v>33</v>
      </c>
      <c r="D77" t="inlineStr">
        <is>
          <t xml:space="preserve">Logic and lookup</t>
        </is>
      </c>
    </row>
    <row r="78">
      <c r="A78" t="inlineStr">
        <is>
          <t xml:space="preserve">PMT</t>
        </is>
      </c>
      <c r="B78" t="inlineStr">
        <is>
          <t xml:space="preserve">=PMT(0,10,1000)</t>
        </is>
      </c>
      <c r="C78">
        <f>PMT(0,10,1000)</f>
        <v>-100</v>
      </c>
      <c r="D78" t="inlineStr">
        <is>
          <t xml:space="preserve">Finance</t>
        </is>
      </c>
    </row>
    <row r="79">
      <c r="A79" t="inlineStr">
        <is>
          <t xml:space="preserve">FV</t>
        </is>
      </c>
      <c r="B79" t="inlineStr">
        <is>
          <t xml:space="preserve">=FV(0,10,-100)</t>
        </is>
      </c>
      <c r="C79">
        <f>FV(0,10,-100)</f>
        <v>1000</v>
      </c>
      <c r="D79" t="inlineStr">
        <is>
          <t xml:space="preserve">Finance</t>
        </is>
      </c>
    </row>
    <row r="80">
      <c r="A80" t="inlineStr">
        <is>
          <t xml:space="preserve">PV</t>
        </is>
      </c>
      <c r="B80" t="inlineStr">
        <is>
          <t xml:space="preserve">=PV(0,10,-100)</t>
        </is>
      </c>
      <c r="C80">
        <f>PV(0,10,-100)</f>
        <v>1000</v>
      </c>
      <c r="D80" t="inlineStr">
        <is>
          <t xml:space="preserve">Finance</t>
        </is>
      </c>
    </row>
    <row r="81">
      <c r="A81" t="inlineStr">
        <is>
          <t xml:space="preserve">NPV</t>
        </is>
      </c>
      <c r="B81" t="inlineStr">
        <is>
          <t xml:space="preserve">=NPV(0.1,100,100)</t>
        </is>
      </c>
      <c r="C81">
        <f>NPV(0.1,100,100)</f>
        <v>173.55371900826447</v>
      </c>
      <c r="D81" t="inlineStr">
        <is>
          <t xml:space="preserve">Finance</t>
        </is>
      </c>
    </row>
  </sheetData>
</worksheet>
</file>